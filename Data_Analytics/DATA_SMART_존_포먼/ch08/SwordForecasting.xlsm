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showInkAnnotation="0" codeName="ThisWorkbook" autoCompressPictures="0"/>
  <bookViews>
    <workbookView xWindow="55380" yWindow="-135" windowWidth="18675" windowHeight="15600" tabRatio="953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 s="1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L3" i="6"/>
  <c r="M3" i="6"/>
  <c r="N4" i="6" s="1"/>
  <c r="O5" i="6" s="1"/>
  <c r="N3" i="6"/>
  <c r="O3" i="6"/>
  <c r="G4" i="6"/>
  <c r="I4" i="6"/>
  <c r="K4" i="6"/>
  <c r="M4" i="6"/>
  <c r="O4" i="6"/>
  <c r="H5" i="6"/>
  <c r="J5" i="6"/>
  <c r="L5" i="6"/>
  <c r="M6" i="6" s="1"/>
  <c r="N7" i="6" s="1"/>
  <c r="N5" i="6"/>
  <c r="I6" i="6"/>
  <c r="J7" i="6" s="1"/>
  <c r="K8" i="6" s="1"/>
  <c r="L9" i="6" s="1"/>
  <c r="M10" i="6" s="1"/>
  <c r="N11" i="6" s="1"/>
  <c r="O12" i="6" s="1"/>
  <c r="K6" i="6"/>
  <c r="N6" i="6"/>
  <c r="O7" i="6" s="1"/>
  <c r="O6" i="6"/>
  <c r="L7" i="6"/>
  <c r="M8" i="6"/>
  <c r="O8" i="6"/>
  <c r="N9" i="6"/>
  <c r="O10" i="6"/>
  <c r="I14" i="6"/>
  <c r="J15" i="6" s="1"/>
  <c r="K16" i="6" s="1"/>
  <c r="L17" i="6" s="1"/>
  <c r="M18" i="6" s="1"/>
  <c r="N19" i="6" s="1"/>
  <c r="O20" i="6" s="1"/>
  <c r="J16" i="6"/>
  <c r="K17" i="6" s="1"/>
  <c r="L18" i="6" s="1"/>
  <c r="E19" i="6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M19" i="6"/>
  <c r="N20" i="6" s="1"/>
  <c r="O21" i="6" s="1"/>
  <c r="L21" i="6"/>
  <c r="M22" i="6" s="1"/>
  <c r="N23" i="6" s="1"/>
  <c r="O24" i="6" s="1"/>
  <c r="G24" i="6"/>
  <c r="H25" i="6" s="1"/>
  <c r="I26" i="6" s="1"/>
  <c r="J27" i="6" s="1"/>
  <c r="K28" i="6" s="1"/>
  <c r="L29" i="6" s="1"/>
  <c r="M30" i="6" s="1"/>
  <c r="N31" i="6" s="1"/>
  <c r="O32" i="6" s="1"/>
  <c r="N24" i="6"/>
  <c r="O25" i="6" s="1"/>
  <c r="M26" i="6"/>
  <c r="N27" i="6" s="1"/>
  <c r="O28" i="6" s="1"/>
  <c r="I29" i="6"/>
  <c r="J30" i="6" s="1"/>
  <c r="K31" i="6" s="1"/>
  <c r="L32" i="6" s="1"/>
  <c r="M33" i="6" s="1"/>
  <c r="N34" i="6" s="1"/>
  <c r="O35" i="6" s="1"/>
  <c r="I31" i="6"/>
  <c r="J32" i="6" s="1"/>
  <c r="K33" i="6" s="1"/>
  <c r="L34" i="6" s="1"/>
  <c r="M35" i="6" s="1"/>
  <c r="N36" i="6" s="1"/>
  <c r="O37" i="6" s="1"/>
  <c r="E33" i="6"/>
  <c r="F34" i="6" s="1"/>
  <c r="G35" i="6" s="1"/>
  <c r="H36" i="6" s="1"/>
  <c r="I37" i="6" s="1"/>
  <c r="B38" i="6"/>
  <c r="C2" i="6"/>
  <c r="D3" i="6" s="1"/>
  <c r="E4" i="6" s="1"/>
  <c r="F5" i="6" s="1"/>
  <c r="G6" i="6" s="1"/>
  <c r="H7" i="6" s="1"/>
  <c r="I8" i="6" s="1"/>
  <c r="J9" i="6" s="1"/>
  <c r="K10" i="6" s="1"/>
  <c r="L11" i="6" s="1"/>
  <c r="M12" i="6" s="1"/>
  <c r="N13" i="6" s="1"/>
  <c r="O14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4" i="6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7" i="6"/>
  <c r="D8" i="6" s="1"/>
  <c r="E9" i="6" s="1"/>
  <c r="F10" i="6" s="1"/>
  <c r="G11" i="6" s="1"/>
  <c r="H12" i="6" s="1"/>
  <c r="I13" i="6" s="1"/>
  <c r="C8" i="6"/>
  <c r="D9" i="6" s="1"/>
  <c r="E10" i="6" s="1"/>
  <c r="F11" i="6" s="1"/>
  <c r="G12" i="6" s="1"/>
  <c r="H13" i="6" s="1"/>
  <c r="C9" i="6"/>
  <c r="D10" i="6" s="1"/>
  <c r="E11" i="6" s="1"/>
  <c r="F12" i="6" s="1"/>
  <c r="G13" i="6" s="1"/>
  <c r="H14" i="6" s="1"/>
  <c r="I15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12" i="6"/>
  <c r="D13" i="6" s="1"/>
  <c r="E14" i="6" s="1"/>
  <c r="F15" i="6" s="1"/>
  <c r="G16" i="6" s="1"/>
  <c r="H17" i="6" s="1"/>
  <c r="I18" i="6" s="1"/>
  <c r="J19" i="6" s="1"/>
  <c r="K20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15" i="6"/>
  <c r="D16" i="6" s="1"/>
  <c r="E17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C17" i="6"/>
  <c r="D18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20" i="6"/>
  <c r="D21" i="6" s="1"/>
  <c r="E22" i="6" s="1"/>
  <c r="F23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23" i="6"/>
  <c r="D24" i="6" s="1"/>
  <c r="E25" i="6" s="1"/>
  <c r="F26" i="6" s="1"/>
  <c r="G27" i="6" s="1"/>
  <c r="H28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5" i="6"/>
  <c r="D26" i="6" s="1"/>
  <c r="E27" i="6" s="1"/>
  <c r="F28" i="6" s="1"/>
  <c r="G29" i="6" s="1"/>
  <c r="H30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9" i="6"/>
  <c r="D30" i="6" s="1"/>
  <c r="E31" i="6" s="1"/>
  <c r="F32" i="6" s="1"/>
  <c r="G33" i="6" s="1"/>
  <c r="H34" i="6" s="1"/>
  <c r="I35" i="6" s="1"/>
  <c r="J36" i="6" s="1"/>
  <c r="K37" i="6" s="1"/>
  <c r="C30" i="6"/>
  <c r="D31" i="6" s="1"/>
  <c r="E32" i="6" s="1"/>
  <c r="F33" i="6" s="1"/>
  <c r="G34" i="6" s="1"/>
  <c r="H35" i="6" s="1"/>
  <c r="I36" i="6" s="1"/>
  <c r="J37" i="6" s="1"/>
  <c r="C31" i="6"/>
  <c r="D32" i="6" s="1"/>
  <c r="C32" i="6"/>
  <c r="D33" i="6" s="1"/>
  <c r="E34" i="6" s="1"/>
  <c r="F35" i="6" s="1"/>
  <c r="G36" i="6" s="1"/>
  <c r="H37" i="6" s="1"/>
  <c r="C33" i="6"/>
  <c r="D34" i="6" s="1"/>
  <c r="E35" i="6" s="1"/>
  <c r="F36" i="6" s="1"/>
  <c r="G37" i="6" s="1"/>
  <c r="C34" i="6"/>
  <c r="D35" i="6" s="1"/>
  <c r="E36" i="6" s="1"/>
  <c r="F37" i="6" s="1"/>
  <c r="C35" i="6"/>
  <c r="D36" i="6" s="1"/>
  <c r="E37" i="6" s="1"/>
  <c r="C36" i="6"/>
  <c r="D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23" i="18"/>
  <c r="O35" i="18"/>
  <c r="C19" i="18"/>
  <c r="O31" i="18" s="1"/>
  <c r="K31" i="18"/>
  <c r="C18" i="18"/>
  <c r="L27" i="18" s="1"/>
  <c r="M29" i="18"/>
  <c r="C15" i="18"/>
  <c r="O27" i="18"/>
  <c r="G27" i="18"/>
  <c r="C14" i="18"/>
  <c r="N25" i="18"/>
  <c r="I25" i="18"/>
  <c r="C11" i="18"/>
  <c r="O23" i="18" s="1"/>
  <c r="L23" i="18"/>
  <c r="K23" i="18"/>
  <c r="C10" i="18"/>
  <c r="L19" i="18" s="1"/>
  <c r="M21" i="18"/>
  <c r="J21" i="18"/>
  <c r="E21" i="18"/>
  <c r="C7" i="18"/>
  <c r="O19" i="18"/>
  <c r="H19" i="18"/>
  <c r="G19" i="18"/>
  <c r="C6" i="18"/>
  <c r="N17" i="18"/>
  <c r="I17" i="18"/>
  <c r="F17" i="18"/>
  <c r="C3" i="18"/>
  <c r="O15" i="18" s="1"/>
  <c r="L15" i="18"/>
  <c r="K15" i="18"/>
  <c r="D15" i="18"/>
  <c r="C2" i="18"/>
  <c r="O14" i="18"/>
  <c r="O13" i="18"/>
  <c r="N13" i="18"/>
  <c r="I13" i="18"/>
  <c r="O12" i="18"/>
  <c r="N12" i="18"/>
  <c r="M12" i="18"/>
  <c r="I12" i="18"/>
  <c r="H12" i="18"/>
  <c r="O11" i="18"/>
  <c r="N11" i="18"/>
  <c r="M11" i="18"/>
  <c r="L11" i="18"/>
  <c r="H11" i="18"/>
  <c r="O10" i="18"/>
  <c r="N10" i="18"/>
  <c r="M10" i="18"/>
  <c r="L10" i="18"/>
  <c r="K10" i="18"/>
  <c r="J10" i="18"/>
  <c r="F10" i="18"/>
  <c r="O9" i="18"/>
  <c r="N9" i="18"/>
  <c r="M9" i="18"/>
  <c r="L9" i="18"/>
  <c r="K9" i="18"/>
  <c r="J9" i="18"/>
  <c r="I9" i="18"/>
  <c r="F9" i="18"/>
  <c r="E9" i="18"/>
  <c r="O8" i="18"/>
  <c r="N8" i="18"/>
  <c r="M8" i="18"/>
  <c r="L8" i="18"/>
  <c r="K8" i="18"/>
  <c r="J8" i="18"/>
  <c r="I8" i="18"/>
  <c r="H8" i="18"/>
  <c r="E8" i="18"/>
  <c r="D8" i="18"/>
  <c r="O7" i="18"/>
  <c r="N7" i="18"/>
  <c r="M7" i="18"/>
  <c r="L7" i="18"/>
  <c r="K7" i="18"/>
  <c r="J7" i="18"/>
  <c r="I7" i="18"/>
  <c r="H7" i="18"/>
  <c r="D7" i="18"/>
  <c r="O6" i="18"/>
  <c r="N6" i="18"/>
  <c r="M6" i="18"/>
  <c r="L6" i="18"/>
  <c r="K6" i="18"/>
  <c r="J6" i="18"/>
  <c r="I6" i="18"/>
  <c r="H6" i="18"/>
  <c r="G6" i="18"/>
  <c r="F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/>
  <c r="C27" i="13"/>
  <c r="D27" i="13" s="1"/>
  <c r="E3" i="13" s="1"/>
  <c r="F3" i="13" s="1"/>
  <c r="C16" i="13"/>
  <c r="D16" i="13" s="1"/>
  <c r="E4" i="13" s="1"/>
  <c r="F4" i="13" s="1"/>
  <c r="C28" i="13"/>
  <c r="D28" i="13" s="1"/>
  <c r="C17" i="13"/>
  <c r="D17" i="13"/>
  <c r="E5" i="13" s="1"/>
  <c r="F5" i="13" s="1"/>
  <c r="C29" i="13"/>
  <c r="D29" i="13" s="1"/>
  <c r="C18" i="13"/>
  <c r="D18" i="13" s="1"/>
  <c r="C30" i="13"/>
  <c r="D30" i="13" s="1"/>
  <c r="C19" i="13"/>
  <c r="D19" i="13" s="1"/>
  <c r="E7" i="13" s="1"/>
  <c r="F7" i="13" s="1"/>
  <c r="C31" i="13"/>
  <c r="D31" i="13" s="1"/>
  <c r="C8" i="13"/>
  <c r="D8" i="13" s="1"/>
  <c r="C20" i="13"/>
  <c r="D20" i="13"/>
  <c r="E8" i="13"/>
  <c r="F8" i="13" s="1"/>
  <c r="C9" i="13"/>
  <c r="D9" i="13" s="1"/>
  <c r="E9" i="13" s="1"/>
  <c r="F9" i="13" s="1"/>
  <c r="C21" i="13"/>
  <c r="D21" i="13" s="1"/>
  <c r="C10" i="13"/>
  <c r="D10" i="13" s="1"/>
  <c r="C22" i="13"/>
  <c r="D22" i="13"/>
  <c r="E10" i="13" s="1"/>
  <c r="F10" i="13" s="1"/>
  <c r="C11" i="13"/>
  <c r="D11" i="13"/>
  <c r="C23" i="13"/>
  <c r="D23" i="13" s="1"/>
  <c r="E11" i="13" s="1"/>
  <c r="F11" i="13" s="1"/>
  <c r="C12" i="13"/>
  <c r="D12" i="13" s="1"/>
  <c r="C24" i="13"/>
  <c r="D24" i="13" s="1"/>
  <c r="C13" i="13"/>
  <c r="D13" i="13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/>
  <c r="E6" i="3" s="1"/>
  <c r="F6" i="3" s="1"/>
  <c r="C38" i="6"/>
  <c r="D38" i="6"/>
  <c r="D40" i="6" s="1"/>
  <c r="F18" i="6" l="1"/>
  <c r="E38" i="6"/>
  <c r="E40" i="6" s="1"/>
  <c r="J14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C18" i="7" l="1"/>
  <c r="F18" i="7"/>
  <c r="G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D7" i="5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C7" i="5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J38" i="18" s="1"/>
  <c r="J40" i="18" s="1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M38" i="18" s="1"/>
  <c r="M40" i="18" s="1"/>
  <c r="K25" i="18"/>
  <c r="I23" i="18"/>
  <c r="G21" i="18"/>
  <c r="E19" i="18"/>
  <c r="L26" i="18"/>
  <c r="H22" i="18"/>
  <c r="D18" i="18"/>
  <c r="N28" i="18"/>
  <c r="J24" i="18"/>
  <c r="F20" i="18"/>
  <c r="F38" i="18" s="1"/>
  <c r="F40" i="18" s="1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F38" i="6"/>
  <c r="F40" i="6" s="1"/>
  <c r="L38" i="18" l="1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G38" i="6"/>
  <c r="G40" i="6" s="1"/>
  <c r="C7" i="3"/>
  <c r="E8" i="5"/>
  <c r="F8" i="5" s="1"/>
  <c r="G8" i="5" s="1"/>
  <c r="L16" i="6"/>
  <c r="F19" i="7"/>
  <c r="G19" i="7" s="1"/>
  <c r="C19" i="7" s="1"/>
  <c r="D19" i="7"/>
  <c r="D8" i="5"/>
  <c r="H18" i="11"/>
  <c r="E18" i="11"/>
  <c r="E18" i="7"/>
  <c r="H18" i="7"/>
  <c r="D18" i="11"/>
  <c r="F20" i="7" l="1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38" i="6"/>
  <c r="H40" i="6" s="1"/>
  <c r="H19" i="11" l="1"/>
  <c r="E19" i="11"/>
  <c r="C19" i="11"/>
  <c r="N18" i="6"/>
  <c r="J22" i="6"/>
  <c r="I38" i="6"/>
  <c r="I40" i="6" s="1"/>
  <c r="C8" i="3"/>
  <c r="D19" i="11"/>
  <c r="E20" i="7"/>
  <c r="H20" i="7"/>
  <c r="E9" i="5"/>
  <c r="F9" i="5" s="1"/>
  <c r="C9" i="5" s="1"/>
  <c r="C20" i="7"/>
  <c r="E10" i="5" l="1"/>
  <c r="F10" i="5" s="1"/>
  <c r="G10" i="5" s="1"/>
  <c r="G9" i="5"/>
  <c r="D9" i="5"/>
  <c r="K23" i="6"/>
  <c r="J38" i="6"/>
  <c r="J40" i="6" s="1"/>
  <c r="F21" i="7"/>
  <c r="G21" i="7" s="1"/>
  <c r="D9" i="3"/>
  <c r="E9" i="3" s="1"/>
  <c r="F9" i="3" s="1"/>
  <c r="C9" i="3"/>
  <c r="O19" i="6"/>
  <c r="F20" i="11"/>
  <c r="G20" i="11" s="1"/>
  <c r="D20" i="11" s="1"/>
  <c r="C20" i="11"/>
  <c r="E21" i="7" l="1"/>
  <c r="H21" i="7"/>
  <c r="D21" i="7"/>
  <c r="C21" i="7"/>
  <c r="D10" i="5"/>
  <c r="F21" i="11"/>
  <c r="G21" i="11" s="1"/>
  <c r="D10" i="3"/>
  <c r="E10" i="3" s="1"/>
  <c r="F10" i="3" s="1"/>
  <c r="C10" i="3"/>
  <c r="H20" i="11"/>
  <c r="E20" i="11"/>
  <c r="L24" i="6"/>
  <c r="K38" i="6"/>
  <c r="K40" i="6" s="1"/>
  <c r="C10" i="5"/>
  <c r="H21" i="11" l="1"/>
  <c r="E21" i="11"/>
  <c r="D11" i="3"/>
  <c r="E11" i="3" s="1"/>
  <c r="F11" i="3" s="1"/>
  <c r="C11" i="3"/>
  <c r="M25" i="6"/>
  <c r="L38" i="6"/>
  <c r="L40" i="6" s="1"/>
  <c r="F22" i="7"/>
  <c r="G22" i="7" s="1"/>
  <c r="D22" i="7" s="1"/>
  <c r="E11" i="5"/>
  <c r="F11" i="5" s="1"/>
  <c r="G11" i="5" s="1"/>
  <c r="C21" i="11"/>
  <c r="D21" i="11"/>
  <c r="D12" i="3" l="1"/>
  <c r="E12" i="3" s="1"/>
  <c r="F12" i="3" s="1"/>
  <c r="C22" i="7"/>
  <c r="E22" i="7"/>
  <c r="H22" i="7"/>
  <c r="F22" i="11"/>
  <c r="G22" i="11" s="1"/>
  <c r="C11" i="5"/>
  <c r="N26" i="6"/>
  <c r="M38" i="6"/>
  <c r="M40" i="6" s="1"/>
  <c r="D11" i="5"/>
  <c r="O27" i="6" l="1"/>
  <c r="O38" i="6" s="1"/>
  <c r="O40" i="6" s="1"/>
  <c r="N38" i="6"/>
  <c r="N40" i="6" s="1"/>
  <c r="C12" i="3"/>
  <c r="E12" i="5"/>
  <c r="F12" i="5" s="1"/>
  <c r="G12" i="5" s="1"/>
  <c r="H22" i="11"/>
  <c r="E22" i="11"/>
  <c r="D22" i="11"/>
  <c r="C22" i="11"/>
  <c r="C23" i="7"/>
  <c r="F23" i="7"/>
  <c r="G23" i="7" s="1"/>
  <c r="F23" i="11" l="1"/>
  <c r="G23" i="11" s="1"/>
  <c r="C12" i="5"/>
  <c r="D12" i="5"/>
  <c r="E23" i="7"/>
  <c r="H23" i="7"/>
  <c r="D23" i="7"/>
  <c r="D13" i="3"/>
  <c r="E13" i="3" s="1"/>
  <c r="F13" i="3" s="1"/>
  <c r="H23" i="11" l="1"/>
  <c r="E23" i="11"/>
  <c r="C23" i="11"/>
  <c r="F24" i="7"/>
  <c r="G24" i="7" s="1"/>
  <c r="C13" i="5"/>
  <c r="E13" i="5"/>
  <c r="F13" i="5" s="1"/>
  <c r="G13" i="5" s="1"/>
  <c r="C13" i="3"/>
  <c r="D23" i="11"/>
  <c r="C24" i="7"/>
  <c r="E14" i="5" l="1"/>
  <c r="F14" i="5" s="1"/>
  <c r="G14" i="5" s="1"/>
  <c r="D13" i="5"/>
  <c r="E24" i="7"/>
  <c r="H24" i="7"/>
  <c r="F24" i="11"/>
  <c r="G24" i="11" s="1"/>
  <c r="D14" i="3"/>
  <c r="E14" i="3" s="1"/>
  <c r="F14" i="3" s="1"/>
  <c r="D24" i="7"/>
  <c r="H24" i="11" l="1"/>
  <c r="E24" i="11"/>
  <c r="D14" i="5"/>
  <c r="C24" i="11"/>
  <c r="D24" i="11"/>
  <c r="F25" i="7"/>
  <c r="G25" i="7" s="1"/>
  <c r="C14" i="3"/>
  <c r="C25" i="7"/>
  <c r="C14" i="5"/>
  <c r="E25" i="7" l="1"/>
  <c r="H25" i="7"/>
  <c r="F25" i="11"/>
  <c r="G25" i="11" s="1"/>
  <c r="C25" i="11"/>
  <c r="D25" i="11"/>
  <c r="E15" i="5"/>
  <c r="F15" i="5" s="1"/>
  <c r="G15" i="5" s="1"/>
  <c r="D25" i="7"/>
  <c r="D15" i="5"/>
  <c r="D15" i="3"/>
  <c r="E15" i="3" s="1"/>
  <c r="F15" i="3" s="1"/>
  <c r="C15" i="3"/>
  <c r="D16" i="3" l="1"/>
  <c r="E16" i="3" s="1"/>
  <c r="F16" i="3" s="1"/>
  <c r="C16" i="3"/>
  <c r="C15" i="5"/>
  <c r="C26" i="11"/>
  <c r="F26" i="11"/>
  <c r="G26" i="11" s="1"/>
  <c r="D26" i="11" s="1"/>
  <c r="F26" i="7"/>
  <c r="G26" i="7" s="1"/>
  <c r="E25" i="11"/>
  <c r="H25" i="11"/>
  <c r="F27" i="11" l="1"/>
  <c r="G27" i="11" s="1"/>
  <c r="E16" i="5"/>
  <c r="F16" i="5" s="1"/>
  <c r="E26" i="7"/>
  <c r="H26" i="7"/>
  <c r="D17" i="3"/>
  <c r="E17" i="3" s="1"/>
  <c r="F17" i="3" s="1"/>
  <c r="C17" i="3"/>
  <c r="D26" i="7"/>
  <c r="C26" i="7"/>
  <c r="H26" i="11"/>
  <c r="E26" i="11"/>
  <c r="F27" i="7" l="1"/>
  <c r="G27" i="7" s="1"/>
  <c r="D27" i="7" s="1"/>
  <c r="H27" i="11"/>
  <c r="E27" i="11"/>
  <c r="G16" i="5"/>
  <c r="D16" i="5"/>
  <c r="C27" i="11"/>
  <c r="D18" i="3"/>
  <c r="E18" i="3" s="1"/>
  <c r="F18" i="3" s="1"/>
  <c r="C18" i="3"/>
  <c r="C16" i="5"/>
  <c r="D27" i="11"/>
  <c r="D19" i="3" l="1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C18" i="5"/>
  <c r="F29" i="11"/>
  <c r="G29" i="11" s="1"/>
  <c r="C28" i="7"/>
  <c r="F29" i="7" l="1"/>
  <c r="G29" i="7" s="1"/>
  <c r="D29" i="7" s="1"/>
  <c r="C29" i="7"/>
  <c r="H29" i="11"/>
  <c r="E29" i="11"/>
  <c r="D29" i="11"/>
  <c r="D18" i="5"/>
  <c r="E19" i="5"/>
  <c r="F19" i="5" s="1"/>
  <c r="G19" i="5" s="1"/>
  <c r="C19" i="5"/>
  <c r="C29" i="11"/>
  <c r="C20" i="3"/>
  <c r="F30" i="7" l="1"/>
  <c r="G30" i="7" s="1"/>
  <c r="C30" i="7" s="1"/>
  <c r="D21" i="3"/>
  <c r="E21" i="3" s="1"/>
  <c r="F21" i="3" s="1"/>
  <c r="D19" i="5"/>
  <c r="F30" i="11"/>
  <c r="G30" i="11" s="1"/>
  <c r="D30" i="11" s="1"/>
  <c r="C30" i="11"/>
  <c r="H29" i="7"/>
  <c r="E29" i="7"/>
  <c r="F31" i="11" l="1"/>
  <c r="G31" i="11" s="1"/>
  <c r="C31" i="11" s="1"/>
  <c r="C21" i="3"/>
  <c r="H30" i="7"/>
  <c r="E30" i="7"/>
  <c r="H30" i="11"/>
  <c r="E30" i="11"/>
  <c r="E20" i="5"/>
  <c r="F20" i="5" s="1"/>
  <c r="D20" i="5" s="1"/>
  <c r="D30" i="7"/>
  <c r="F31" i="7" s="1"/>
  <c r="G31" i="7" s="1"/>
  <c r="H31" i="7" l="1"/>
  <c r="E31" i="7"/>
  <c r="D22" i="3"/>
  <c r="E22" i="3" s="1"/>
  <c r="F22" i="3" s="1"/>
  <c r="C22" i="3"/>
  <c r="C31" i="7"/>
  <c r="D31" i="7"/>
  <c r="G20" i="5"/>
  <c r="C20" i="5"/>
  <c r="H31" i="11"/>
  <c r="E31" i="11"/>
  <c r="D31" i="11"/>
  <c r="F32" i="7" l="1"/>
  <c r="G32" i="7" s="1"/>
  <c r="F32" i="11"/>
  <c r="G32" i="11" s="1"/>
  <c r="D32" i="7"/>
  <c r="D23" i="3"/>
  <c r="E23" i="3" s="1"/>
  <c r="F23" i="3" s="1"/>
  <c r="E21" i="5"/>
  <c r="F21" i="5" s="1"/>
  <c r="C21" i="5" s="1"/>
  <c r="C32" i="1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D22" i="5"/>
  <c r="F33" i="7"/>
  <c r="G33" i="7" s="1"/>
  <c r="C33" i="7"/>
  <c r="C22" i="5"/>
  <c r="D33" i="11"/>
  <c r="D24" i="3"/>
  <c r="E24" i="3" s="1"/>
  <c r="F24" i="3" s="1"/>
  <c r="C24" i="3"/>
  <c r="E22" i="5"/>
  <c r="F22" i="5" s="1"/>
  <c r="G22" i="5" s="1"/>
  <c r="D25" i="3" l="1"/>
  <c r="E25" i="3" s="1"/>
  <c r="F25" i="3" s="1"/>
  <c r="C25" i="3"/>
  <c r="E23" i="5"/>
  <c r="F23" i="5" s="1"/>
  <c r="G23" i="5" s="1"/>
  <c r="D23" i="5"/>
  <c r="F34" i="11"/>
  <c r="G34" i="11" s="1"/>
  <c r="C34" i="11" s="1"/>
  <c r="D34" i="11"/>
  <c r="H33" i="7"/>
  <c r="E33" i="7"/>
  <c r="D33" i="7"/>
  <c r="F35" i="11" l="1"/>
  <c r="G35" i="11" s="1"/>
  <c r="D26" i="3"/>
  <c r="E26" i="3" s="1"/>
  <c r="F26" i="3" s="1"/>
  <c r="C26" i="3"/>
  <c r="C23" i="5"/>
  <c r="D34" i="7"/>
  <c r="F34" i="7"/>
  <c r="G34" i="7" s="1"/>
  <c r="H34" i="11"/>
  <c r="E34" i="11"/>
  <c r="H35" i="11" l="1"/>
  <c r="E35" i="11"/>
  <c r="D35" i="11"/>
  <c r="D27" i="3"/>
  <c r="E27" i="3" s="1"/>
  <c r="F27" i="3" s="1"/>
  <c r="H34" i="7"/>
  <c r="E34" i="7"/>
  <c r="C34" i="7"/>
  <c r="E24" i="5"/>
  <c r="F24" i="5" s="1"/>
  <c r="C24" i="5"/>
  <c r="C35" i="11"/>
  <c r="G24" i="5" l="1"/>
  <c r="D24" i="5"/>
  <c r="D36" i="11"/>
  <c r="E25" i="5"/>
  <c r="F25" i="5" s="1"/>
  <c r="G25" i="5" s="1"/>
  <c r="C36" i="11"/>
  <c r="F36" i="11"/>
  <c r="G36" i="11" s="1"/>
  <c r="F35" i="7"/>
  <c r="G35" i="7" s="1"/>
  <c r="C35" i="7" s="1"/>
  <c r="C27" i="3"/>
  <c r="F37" i="11" l="1"/>
  <c r="G37" i="11" s="1"/>
  <c r="D25" i="5"/>
  <c r="D28" i="3"/>
  <c r="E28" i="3" s="1"/>
  <c r="F28" i="3" s="1"/>
  <c r="C28" i="3"/>
  <c r="H35" i="7"/>
  <c r="E35" i="7"/>
  <c r="D35" i="7"/>
  <c r="C25" i="5"/>
  <c r="H36" i="11"/>
  <c r="E36" i="11"/>
  <c r="H37" i="11" l="1"/>
  <c r="E37" i="11"/>
  <c r="C37" i="11"/>
  <c r="E26" i="5"/>
  <c r="F26" i="5" s="1"/>
  <c r="G26" i="5" s="1"/>
  <c r="C26" i="5"/>
  <c r="D37" i="11"/>
  <c r="D29" i="3"/>
  <c r="E29" i="3" s="1"/>
  <c r="F29" i="3" s="1"/>
  <c r="D26" i="5"/>
  <c r="F36" i="7"/>
  <c r="G36" i="7" s="1"/>
  <c r="D36" i="7" s="1"/>
  <c r="D38" i="11" l="1"/>
  <c r="F38" i="11"/>
  <c r="G38" i="11" s="1"/>
  <c r="C29" i="3"/>
  <c r="H36" i="7"/>
  <c r="E36" i="7"/>
  <c r="E27" i="5"/>
  <c r="F27" i="5" s="1"/>
  <c r="G27" i="5" s="1"/>
  <c r="C27" i="5"/>
  <c r="C36" i="7"/>
  <c r="H38" i="11" l="1"/>
  <c r="E38" i="11"/>
  <c r="F37" i="7"/>
  <c r="G37" i="7" s="1"/>
  <c r="C37" i="7"/>
  <c r="D27" i="5"/>
  <c r="C38" i="11"/>
  <c r="E28" i="5"/>
  <c r="F28" i="5" s="1"/>
  <c r="G28" i="5" s="1"/>
  <c r="C28" i="5"/>
  <c r="D30" i="3"/>
  <c r="E30" i="3" s="1"/>
  <c r="F30" i="3" s="1"/>
  <c r="C30" i="3" l="1"/>
  <c r="F39" i="11"/>
  <c r="G39" i="11" s="1"/>
  <c r="C39" i="11" s="1"/>
  <c r="D28" i="5"/>
  <c r="H37" i="7"/>
  <c r="E37" i="7"/>
  <c r="D37" i="7"/>
  <c r="D38" i="7" l="1"/>
  <c r="F38" i="7"/>
  <c r="G38" i="7" s="1"/>
  <c r="D31" i="3"/>
  <c r="E31" i="3" s="1"/>
  <c r="F31" i="3" s="1"/>
  <c r="C31" i="3"/>
  <c r="D29" i="5"/>
  <c r="E29" i="5"/>
  <c r="F29" i="5" s="1"/>
  <c r="G29" i="5" s="1"/>
  <c r="H39" i="11"/>
  <c r="E39" i="11"/>
  <c r="D39" i="11"/>
  <c r="C29" i="5"/>
  <c r="H38" i="7" l="1"/>
  <c r="E38" i="7"/>
  <c r="C38" i="7"/>
  <c r="D32" i="3"/>
  <c r="E32" i="3" s="1"/>
  <c r="F32" i="3" s="1"/>
  <c r="E30" i="5"/>
  <c r="F30" i="5" s="1"/>
  <c r="G30" i="5" s="1"/>
  <c r="C30" i="5"/>
  <c r="D40" i="11"/>
  <c r="F40" i="11"/>
  <c r="G40" i="11" s="1"/>
  <c r="E31" i="5" l="1"/>
  <c r="F31" i="5" s="1"/>
  <c r="G31" i="5" s="1"/>
  <c r="D30" i="5"/>
  <c r="F39" i="7"/>
  <c r="G39" i="7" s="1"/>
  <c r="H40" i="11"/>
  <c r="E40" i="11"/>
  <c r="C32" i="3"/>
  <c r="C40" i="11"/>
  <c r="F41" i="11" l="1"/>
  <c r="G41" i="11" s="1"/>
  <c r="C31" i="5"/>
  <c r="H39" i="7"/>
  <c r="E39" i="7"/>
  <c r="D39" i="7"/>
  <c r="D33" i="3"/>
  <c r="E33" i="3" s="1"/>
  <c r="F33" i="3" s="1"/>
  <c r="C33" i="3"/>
  <c r="C39" i="7"/>
  <c r="D31" i="5"/>
  <c r="D34" i="3" l="1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/>
  <c r="D42" i="11"/>
  <c r="C32" i="5"/>
  <c r="D35" i="3" l="1"/>
  <c r="E35" i="3" s="1"/>
  <c r="F35" i="3" s="1"/>
  <c r="C35" i="3"/>
  <c r="C33" i="5"/>
  <c r="E33" i="5"/>
  <c r="F33" i="5" s="1"/>
  <c r="G33" i="5" s="1"/>
  <c r="F43" i="11"/>
  <c r="G43" i="11" s="1"/>
  <c r="H42" i="11"/>
  <c r="E42" i="11"/>
  <c r="F41" i="7"/>
  <c r="G41" i="7" s="1"/>
  <c r="D33" i="5" l="1"/>
  <c r="H43" i="11"/>
  <c r="E43" i="11"/>
  <c r="D36" i="3"/>
  <c r="E36" i="3" s="1"/>
  <c r="F36" i="3" s="1"/>
  <c r="C43" i="11"/>
  <c r="E34" i="5"/>
  <c r="F34" i="5" s="1"/>
  <c r="G34" i="5" s="1"/>
  <c r="C34" i="5"/>
  <c r="H41" i="7"/>
  <c r="E41" i="7"/>
  <c r="D41" i="7"/>
  <c r="D43" i="11"/>
  <c r="C41" i="7"/>
  <c r="F44" i="11" l="1"/>
  <c r="G44" i="11" s="1"/>
  <c r="F42" i="7"/>
  <c r="G42" i="7" s="1"/>
  <c r="C42" i="7" s="1"/>
  <c r="C36" i="3"/>
  <c r="D34" i="5"/>
  <c r="F43" i="7" l="1"/>
  <c r="G43" i="7" s="1"/>
  <c r="E35" i="5"/>
  <c r="F35" i="5" s="1"/>
  <c r="H42" i="7"/>
  <c r="E42" i="7"/>
  <c r="H44" i="11"/>
  <c r="E44" i="11"/>
  <c r="D37" i="3"/>
  <c r="E37" i="3" s="1"/>
  <c r="F37" i="3" s="1"/>
  <c r="C37" i="3"/>
  <c r="D44" i="11"/>
  <c r="C44" i="11"/>
  <c r="D42" i="7"/>
  <c r="G35" i="5" l="1"/>
  <c r="C35" i="5"/>
  <c r="C45" i="11"/>
  <c r="F45" i="11"/>
  <c r="G45" i="11" s="1"/>
  <c r="D45" i="11"/>
  <c r="D35" i="5"/>
  <c r="D38" i="3"/>
  <c r="E38" i="3" s="1"/>
  <c r="F38" i="3" s="1"/>
  <c r="H43" i="7"/>
  <c r="E43" i="7"/>
  <c r="D43" i="7"/>
  <c r="C43" i="7"/>
  <c r="E36" i="5" l="1"/>
  <c r="F36" i="5" s="1"/>
  <c r="G36" i="5" s="1"/>
  <c r="C36" i="5"/>
  <c r="F46" i="11"/>
  <c r="G46" i="11" s="1"/>
  <c r="C46" i="11" s="1"/>
  <c r="F44" i="7"/>
  <c r="G44" i="7" s="1"/>
  <c r="C38" i="3"/>
  <c r="H45" i="11"/>
  <c r="E45" i="11"/>
  <c r="E37" i="5" l="1"/>
  <c r="F37" i="5" s="1"/>
  <c r="G37" i="5" s="1"/>
  <c r="H44" i="7"/>
  <c r="E44" i="7"/>
  <c r="D39" i="3"/>
  <c r="E39" i="3" s="1"/>
  <c r="F39" i="3" s="1"/>
  <c r="C39" i="3"/>
  <c r="D36" i="5"/>
  <c r="C37" i="5" s="1"/>
  <c r="H46" i="11"/>
  <c r="E46" i="11"/>
  <c r="C44" i="7"/>
  <c r="D46" i="11"/>
  <c r="D44" i="7"/>
  <c r="D40" i="3" l="1"/>
  <c r="E40" i="3" s="1"/>
  <c r="F40" i="3" s="1"/>
  <c r="F47" i="11"/>
  <c r="G47" i="11" s="1"/>
  <c r="D47" i="11" s="1"/>
  <c r="F45" i="7"/>
  <c r="G45" i="7" s="1"/>
  <c r="C45" i="7"/>
  <c r="D37" i="5"/>
  <c r="C47" i="11"/>
  <c r="F48" i="11" l="1"/>
  <c r="G48" i="11" s="1"/>
  <c r="C48" i="11"/>
  <c r="C40" i="3"/>
  <c r="F46" i="7"/>
  <c r="G46" i="7" s="1"/>
  <c r="C38" i="5"/>
  <c r="H47" i="11"/>
  <c r="E47" i="11"/>
  <c r="H45" i="7"/>
  <c r="E45" i="7"/>
  <c r="D45" i="7"/>
  <c r="E38" i="5"/>
  <c r="F38" i="5" s="1"/>
  <c r="G38" i="5" s="1"/>
  <c r="D41" i="3" l="1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F47" i="7"/>
  <c r="G47" i="7" s="1"/>
  <c r="D47" i="7" s="1"/>
  <c r="C41" i="3"/>
  <c r="C49" i="11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C48" i="7"/>
  <c r="F48" i="7"/>
  <c r="G48" i="7" s="1"/>
  <c r="D40" i="5" l="1"/>
  <c r="F49" i="7"/>
  <c r="G49" i="7" s="1"/>
  <c r="H50" i="11"/>
  <c r="E50" i="11"/>
  <c r="D50" i="11"/>
  <c r="H48" i="7"/>
  <c r="E48" i="7"/>
  <c r="D48" i="7"/>
  <c r="C40" i="5"/>
  <c r="C50" i="11"/>
  <c r="H49" i="7" l="1"/>
  <c r="E49" i="7"/>
  <c r="D49" i="7"/>
  <c r="F51" i="11"/>
  <c r="G51" i="11" s="1"/>
  <c r="C49" i="7"/>
  <c r="C41" i="5"/>
  <c r="E41" i="5"/>
  <c r="F41" i="5" s="1"/>
  <c r="G41" i="5" s="1"/>
  <c r="F2" i="5" s="1"/>
  <c r="G2" i="5" s="1"/>
  <c r="D41" i="5"/>
  <c r="B45" i="5" l="1"/>
  <c r="B49" i="5"/>
  <c r="B53" i="5"/>
  <c r="B43" i="5"/>
  <c r="B47" i="5"/>
  <c r="B51" i="5"/>
  <c r="B42" i="5"/>
  <c r="B50" i="5"/>
  <c r="B44" i="5"/>
  <c r="B52" i="5"/>
  <c r="B46" i="5"/>
  <c r="B48" i="5"/>
  <c r="C50" i="7"/>
  <c r="F50" i="7"/>
  <c r="G50" i="7" s="1"/>
  <c r="H51" i="11"/>
  <c r="E51" i="11"/>
  <c r="C51" i="11"/>
  <c r="D51" i="11"/>
  <c r="H50" i="7" l="1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<sst xmlns="http://schemas.openxmlformats.org/spreadsheetml/2006/main" count="77" uniqueCount="34">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</sst>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</cellXfs>
  <cellStyles count="436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Normal" xfId="0" builtinId="0"/>
    <cellStyle name="Percent" xfId="2169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89184"/>
        <c:axId val="76991104"/>
      </c:scatterChart>
      <c:valAx>
        <c:axId val="76989184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6991104"/>
        <c:crosses val="autoZero"/>
        <c:crossBetween val="midCat"/>
        <c:majorUnit val="6"/>
      </c:valAx>
      <c:valAx>
        <c:axId val="76991104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6989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62240"/>
        <c:axId val="77564160"/>
      </c:scatterChart>
      <c:valAx>
        <c:axId val="77562240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7564160"/>
        <c:crosses val="autoZero"/>
        <c:crossBetween val="midCat"/>
        <c:majorUnit val="6"/>
      </c:valAx>
      <c:valAx>
        <c:axId val="7756416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7562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8528"/>
        <c:axId val="78040448"/>
      </c:scatterChart>
      <c:valAx>
        <c:axId val="78038528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040448"/>
        <c:crosses val="autoZero"/>
        <c:crossBetween val="midCat"/>
        <c:majorUnit val="3"/>
      </c:valAx>
      <c:valAx>
        <c:axId val="78040448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0385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291.70947683813665</c:v>
                </c:pt>
                <c:pt idx="1">
                  <c:v>297.05387483650361</c:v>
                </c:pt>
                <c:pt idx="2">
                  <c:v>302.39827283487051</c:v>
                </c:pt>
                <c:pt idx="3">
                  <c:v>307.74267083323747</c:v>
                </c:pt>
                <c:pt idx="4">
                  <c:v>313.08706883160443</c:v>
                </c:pt>
                <c:pt idx="5">
                  <c:v>318.43146682997133</c:v>
                </c:pt>
                <c:pt idx="6">
                  <c:v>323.77586482833829</c:v>
                </c:pt>
                <c:pt idx="7">
                  <c:v>329.12026282670524</c:v>
                </c:pt>
                <c:pt idx="8">
                  <c:v>334.4646608250722</c:v>
                </c:pt>
                <c:pt idx="9">
                  <c:v>339.80905882343916</c:v>
                </c:pt>
                <c:pt idx="10">
                  <c:v>345.15345682180606</c:v>
                </c:pt>
                <c:pt idx="11">
                  <c:v>350.49785482017302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0416"/>
        <c:axId val="77902592"/>
      </c:scatterChart>
      <c:valAx>
        <c:axId val="77900416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7902592"/>
        <c:crosses val="autoZero"/>
        <c:crossBetween val="midCat"/>
        <c:majorUnit val="6"/>
      </c:valAx>
      <c:valAx>
        <c:axId val="77902592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79004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77921280"/>
        <c:axId val="78353536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21280"/>
        <c:axId val="78353536"/>
      </c:lineChart>
      <c:catAx>
        <c:axId val="7792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78353536"/>
        <c:crosses val="autoZero"/>
        <c:auto val="1"/>
        <c:lblAlgn val="ctr"/>
        <c:lblOffset val="100"/>
        <c:noMultiLvlLbl val="0"/>
      </c:catAx>
      <c:valAx>
        <c:axId val="78353536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792128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53984"/>
        <c:axId val="78163968"/>
      </c:scatterChart>
      <c:valAx>
        <c:axId val="78153984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78163968"/>
        <c:crosses val="autoZero"/>
        <c:crossBetween val="midCat"/>
        <c:majorUnit val="6"/>
      </c:valAx>
      <c:valAx>
        <c:axId val="78163968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8153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60096"/>
        <c:axId val="78261632"/>
      </c:lineChart>
      <c:catAx>
        <c:axId val="7826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261632"/>
        <c:crosses val="autoZero"/>
        <c:auto val="1"/>
        <c:lblAlgn val="ctr"/>
        <c:lblOffset val="100"/>
        <c:noMultiLvlLbl val="0"/>
      </c:catAx>
      <c:valAx>
        <c:axId val="78261632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60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72384"/>
        <c:axId val="78273920"/>
      </c:barChart>
      <c:catAx>
        <c:axId val="78272384"/>
        <c:scaling>
          <c:orientation val="minMax"/>
        </c:scaling>
        <c:delete val="0"/>
        <c:axPos val="b"/>
        <c:majorTickMark val="out"/>
        <c:minorTickMark val="none"/>
        <c:tickLblPos val="nextTo"/>
        <c:crossAx val="78273920"/>
        <c:crosses val="autoZero"/>
        <c:auto val="1"/>
        <c:lblAlgn val="ctr"/>
        <c:lblOffset val="100"/>
        <c:noMultiLvlLbl val="0"/>
      </c:catAx>
      <c:valAx>
        <c:axId val="782739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82723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4112"/>
        <c:axId val="78396032"/>
      </c:scatterChart>
      <c:valAx>
        <c:axId val="7839411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396032"/>
        <c:crosses val="autoZero"/>
        <c:crossBetween val="midCat"/>
        <c:majorUnit val="6"/>
      </c:valAx>
      <c:valAx>
        <c:axId val="78396032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394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78489088"/>
        <c:axId val="7849100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89088"/>
        <c:axId val="78491008"/>
      </c:lineChart>
      <c:catAx>
        <c:axId val="7848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78491008"/>
        <c:crosses val="autoZero"/>
        <c:auto val="1"/>
        <c:lblAlgn val="ctr"/>
        <c:lblOffset val="100"/>
        <c:noMultiLvlLbl val="0"/>
      </c:catAx>
      <c:valAx>
        <c:axId val="7849100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4890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44320"/>
        <c:axId val="103546240"/>
      </c:areaChart>
      <c:catAx>
        <c:axId val="10354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546240"/>
        <c:crosses val="autoZero"/>
        <c:auto val="1"/>
        <c:lblAlgn val="ctr"/>
        <c:lblOffset val="100"/>
        <c:noMultiLvlLbl val="0"/>
      </c:catAx>
      <c:valAx>
        <c:axId val="103546240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544320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2"/>
  <sheetViews>
    <sheetView tabSelected="1" zoomScale="150" zoomScaleNormal="150" zoomScalePageLayoutView="150" workbookViewId="0"/>
  </sheetViews>
  <sheetFormatPr defaultColWidth="11" defaultRowHeight="15.75" x14ac:dyDescent="0.25"/>
  <cols>
    <col min="1" max="1" width="6.375" customWidth="1"/>
    <col min="2" max="2" width="12.125" style="14" bestFit="1" customWidth="1"/>
  </cols>
  <sheetData>
    <row r="1" spans="1:2" x14ac:dyDescent="0.25">
      <c r="A1" s="15" t="s">
        <v>1</v>
      </c>
      <c r="B1" s="16" t="s">
        <v>0</v>
      </c>
    </row>
    <row r="2" spans="1:2" s="28" customFormat="1" ht="12" customHeight="1" x14ac:dyDescent="0.25">
      <c r="A2" s="26">
        <v>1</v>
      </c>
      <c r="B2" s="27">
        <v>165</v>
      </c>
    </row>
    <row r="3" spans="1:2" s="28" customFormat="1" ht="12" customHeight="1" x14ac:dyDescent="0.25">
      <c r="A3" s="26">
        <v>2</v>
      </c>
      <c r="B3" s="27">
        <v>171</v>
      </c>
    </row>
    <row r="4" spans="1:2" s="28" customFormat="1" ht="12" customHeight="1" x14ac:dyDescent="0.25">
      <c r="A4" s="26">
        <v>3</v>
      </c>
      <c r="B4" s="27">
        <v>147</v>
      </c>
    </row>
    <row r="5" spans="1:2" s="28" customFormat="1" ht="12" customHeight="1" x14ac:dyDescent="0.25">
      <c r="A5" s="26">
        <v>4</v>
      </c>
      <c r="B5" s="27">
        <v>143</v>
      </c>
    </row>
    <row r="6" spans="1:2" s="28" customFormat="1" ht="12" customHeight="1" x14ac:dyDescent="0.25">
      <c r="A6" s="26">
        <v>5</v>
      </c>
      <c r="B6" s="27">
        <v>164</v>
      </c>
    </row>
    <row r="7" spans="1:2" s="28" customFormat="1" ht="12" customHeight="1" x14ac:dyDescent="0.25">
      <c r="A7" s="26">
        <v>6</v>
      </c>
      <c r="B7" s="27">
        <v>160</v>
      </c>
    </row>
    <row r="8" spans="1:2" s="28" customFormat="1" ht="12" customHeight="1" x14ac:dyDescent="0.25">
      <c r="A8" s="26">
        <v>7</v>
      </c>
      <c r="B8" s="27">
        <v>152</v>
      </c>
    </row>
    <row r="9" spans="1:2" s="28" customFormat="1" ht="12" customHeight="1" x14ac:dyDescent="0.25">
      <c r="A9" s="26">
        <v>8</v>
      </c>
      <c r="B9" s="27">
        <v>150</v>
      </c>
    </row>
    <row r="10" spans="1:2" s="28" customFormat="1" ht="12" customHeight="1" x14ac:dyDescent="0.25">
      <c r="A10" s="26">
        <v>9</v>
      </c>
      <c r="B10" s="27">
        <v>159</v>
      </c>
    </row>
    <row r="11" spans="1:2" s="28" customFormat="1" ht="12" customHeight="1" x14ac:dyDescent="0.25">
      <c r="A11" s="26">
        <v>10</v>
      </c>
      <c r="B11" s="27">
        <v>169</v>
      </c>
    </row>
    <row r="12" spans="1:2" s="28" customFormat="1" ht="12" customHeight="1" x14ac:dyDescent="0.25">
      <c r="A12" s="26">
        <v>11</v>
      </c>
      <c r="B12" s="27">
        <v>173</v>
      </c>
    </row>
    <row r="13" spans="1:2" s="28" customFormat="1" ht="12" customHeight="1" x14ac:dyDescent="0.25">
      <c r="A13" s="26">
        <v>12</v>
      </c>
      <c r="B13" s="27">
        <v>203</v>
      </c>
    </row>
    <row r="14" spans="1:2" s="28" customFormat="1" ht="12" customHeight="1" x14ac:dyDescent="0.25">
      <c r="A14" s="26">
        <v>13</v>
      </c>
      <c r="B14" s="27">
        <v>169</v>
      </c>
    </row>
    <row r="15" spans="1:2" s="28" customFormat="1" ht="12" customHeight="1" x14ac:dyDescent="0.25">
      <c r="A15" s="26">
        <v>14</v>
      </c>
      <c r="B15" s="27">
        <v>166</v>
      </c>
    </row>
    <row r="16" spans="1:2" s="28" customFormat="1" ht="12" customHeight="1" x14ac:dyDescent="0.25">
      <c r="A16" s="26">
        <v>15</v>
      </c>
      <c r="B16" s="27">
        <v>162</v>
      </c>
    </row>
    <row r="17" spans="1:2" s="28" customFormat="1" ht="12" customHeight="1" x14ac:dyDescent="0.25">
      <c r="A17" s="26">
        <v>16</v>
      </c>
      <c r="B17" s="27">
        <v>147</v>
      </c>
    </row>
    <row r="18" spans="1:2" s="28" customFormat="1" ht="12" customHeight="1" x14ac:dyDescent="0.25">
      <c r="A18" s="26">
        <v>17</v>
      </c>
      <c r="B18" s="27">
        <v>188</v>
      </c>
    </row>
    <row r="19" spans="1:2" s="28" customFormat="1" ht="12" customHeight="1" x14ac:dyDescent="0.25">
      <c r="A19" s="26">
        <v>18</v>
      </c>
      <c r="B19" s="27">
        <v>161</v>
      </c>
    </row>
    <row r="20" spans="1:2" s="28" customFormat="1" ht="12" customHeight="1" x14ac:dyDescent="0.25">
      <c r="A20" s="26">
        <v>19</v>
      </c>
      <c r="B20" s="27">
        <v>162</v>
      </c>
    </row>
    <row r="21" spans="1:2" s="28" customFormat="1" ht="12" customHeight="1" x14ac:dyDescent="0.25">
      <c r="A21" s="26">
        <v>20</v>
      </c>
      <c r="B21" s="27">
        <v>169</v>
      </c>
    </row>
    <row r="22" spans="1:2" s="28" customFormat="1" ht="12" customHeight="1" x14ac:dyDescent="0.25">
      <c r="A22" s="26">
        <v>21</v>
      </c>
      <c r="B22" s="27">
        <v>185</v>
      </c>
    </row>
    <row r="23" spans="1:2" s="28" customFormat="1" ht="12" customHeight="1" x14ac:dyDescent="0.25">
      <c r="A23" s="26">
        <v>22</v>
      </c>
      <c r="B23" s="27">
        <v>188</v>
      </c>
    </row>
    <row r="24" spans="1:2" s="28" customFormat="1" ht="12" customHeight="1" x14ac:dyDescent="0.25">
      <c r="A24" s="26">
        <v>23</v>
      </c>
      <c r="B24" s="27">
        <v>200</v>
      </c>
    </row>
    <row r="25" spans="1:2" s="28" customFormat="1" ht="12" customHeight="1" x14ac:dyDescent="0.25">
      <c r="A25" s="26">
        <v>24</v>
      </c>
      <c r="B25" s="27">
        <v>229</v>
      </c>
    </row>
    <row r="26" spans="1:2" s="28" customFormat="1" ht="12" customHeight="1" x14ac:dyDescent="0.25">
      <c r="A26" s="26">
        <v>25</v>
      </c>
      <c r="B26" s="27">
        <v>189</v>
      </c>
    </row>
    <row r="27" spans="1:2" s="28" customFormat="1" ht="12" customHeight="1" x14ac:dyDescent="0.25">
      <c r="A27" s="26">
        <v>26</v>
      </c>
      <c r="B27" s="27">
        <v>218</v>
      </c>
    </row>
    <row r="28" spans="1:2" s="28" customFormat="1" ht="12" customHeight="1" x14ac:dyDescent="0.25">
      <c r="A28" s="26">
        <v>27</v>
      </c>
      <c r="B28" s="27">
        <v>185</v>
      </c>
    </row>
    <row r="29" spans="1:2" s="28" customFormat="1" ht="12" customHeight="1" x14ac:dyDescent="0.25">
      <c r="A29" s="26">
        <v>28</v>
      </c>
      <c r="B29" s="27">
        <v>199</v>
      </c>
    </row>
    <row r="30" spans="1:2" s="28" customFormat="1" ht="12" customHeight="1" x14ac:dyDescent="0.25">
      <c r="A30" s="26">
        <v>29</v>
      </c>
      <c r="B30" s="27">
        <v>210</v>
      </c>
    </row>
    <row r="31" spans="1:2" s="28" customFormat="1" ht="12" customHeight="1" x14ac:dyDescent="0.25">
      <c r="A31" s="26">
        <v>30</v>
      </c>
      <c r="B31" s="27">
        <v>193</v>
      </c>
    </row>
    <row r="32" spans="1:2" s="28" customFormat="1" ht="12" customHeight="1" x14ac:dyDescent="0.25">
      <c r="A32" s="26">
        <v>31</v>
      </c>
      <c r="B32" s="27">
        <v>211</v>
      </c>
    </row>
    <row r="33" spans="1:2" s="28" customFormat="1" ht="12" customHeight="1" x14ac:dyDescent="0.25">
      <c r="A33" s="26">
        <v>32</v>
      </c>
      <c r="B33" s="27">
        <v>208</v>
      </c>
    </row>
    <row r="34" spans="1:2" s="28" customFormat="1" ht="12" customHeight="1" x14ac:dyDescent="0.25">
      <c r="A34" s="26">
        <v>33</v>
      </c>
      <c r="B34" s="27">
        <v>216</v>
      </c>
    </row>
    <row r="35" spans="1:2" s="28" customFormat="1" ht="12" customHeight="1" x14ac:dyDescent="0.25">
      <c r="A35" s="26">
        <v>34</v>
      </c>
      <c r="B35" s="27">
        <v>218</v>
      </c>
    </row>
    <row r="36" spans="1:2" s="28" customFormat="1" ht="12" customHeight="1" x14ac:dyDescent="0.25">
      <c r="A36" s="26">
        <v>35</v>
      </c>
      <c r="B36" s="27">
        <v>264</v>
      </c>
    </row>
    <row r="37" spans="1:2" s="28" customFormat="1" ht="12" customHeight="1" x14ac:dyDescent="0.25">
      <c r="A37" s="29">
        <v>36</v>
      </c>
      <c r="B37" s="30">
        <v>304</v>
      </c>
    </row>
    <row r="39" spans="1:2" x14ac:dyDescent="0.25">
      <c r="A39" t="s">
        <v>30</v>
      </c>
      <c r="B39" s="24">
        <f>INDEX(LINEST(B2:B37,A2:A37,TRUE,TRUE),1,1)</f>
        <v>2.5386100386100385</v>
      </c>
    </row>
    <row r="40" spans="1:2" x14ac:dyDescent="0.25">
      <c r="A40" t="s">
        <v>33</v>
      </c>
      <c r="B40" s="24">
        <f>INDEX(LINEST(B2:B37,A2:A37,TRUE,TRUE),2,1)</f>
        <v>0.34018172051263179</v>
      </c>
    </row>
    <row r="41" spans="1:2" x14ac:dyDescent="0.25">
      <c r="A41" t="s">
        <v>31</v>
      </c>
      <c r="B41" s="14">
        <f>INDEX(LINEST(B2:B37,A2:A37,TRUE,TRUE),4,2)</f>
        <v>34</v>
      </c>
    </row>
    <row r="42" spans="1:2" x14ac:dyDescent="0.25">
      <c r="A42" t="s">
        <v>32</v>
      </c>
      <c r="B42" s="2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9" t="s">
        <v>8</v>
      </c>
      <c r="F1" s="19" t="s">
        <v>9</v>
      </c>
    </row>
    <row r="2" spans="1:6" x14ac:dyDescent="0.25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 x14ac:dyDescent="0.25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 x14ac:dyDescent="0.25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 x14ac:dyDescent="0.25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 x14ac:dyDescent="0.25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 x14ac:dyDescent="0.25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 x14ac:dyDescent="0.25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 x14ac:dyDescent="0.25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 x14ac:dyDescent="0.25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 x14ac:dyDescent="0.25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 x14ac:dyDescent="0.25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 x14ac:dyDescent="0.25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 x14ac:dyDescent="0.25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 x14ac:dyDescent="0.25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 x14ac:dyDescent="0.25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 x14ac:dyDescent="0.25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 x14ac:dyDescent="0.25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 x14ac:dyDescent="0.25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 x14ac:dyDescent="0.25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 x14ac:dyDescent="0.25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 x14ac:dyDescent="0.25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 x14ac:dyDescent="0.25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 x14ac:dyDescent="0.25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 x14ac:dyDescent="0.25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 x14ac:dyDescent="0.25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 x14ac:dyDescent="0.25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 x14ac:dyDescent="0.25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 x14ac:dyDescent="0.25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 x14ac:dyDescent="0.25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 x14ac:dyDescent="0.25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 x14ac:dyDescent="0.25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 x14ac:dyDescent="0.25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 x14ac:dyDescent="0.25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 x14ac:dyDescent="0.25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 x14ac:dyDescent="0.25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53"/>
  <sheetViews>
    <sheetView workbookViewId="0">
      <pane ySplit="4" topLeftCell="A5" activePane="bottomLeft" state="frozen"/>
      <selection activeCell="O15" sqref="O15"/>
      <selection pane="bottomLeft" activeCell="F10" sqref="F10"/>
    </sheetView>
  </sheetViews>
  <sheetFormatPr defaultColWidth="11" defaultRowHeight="15.75" x14ac:dyDescent="0.25"/>
  <cols>
    <col min="1" max="1" width="12" bestFit="1" customWidth="1"/>
    <col min="3" max="3" width="10.875" style="18"/>
    <col min="4" max="4" width="11.875" style="18" customWidth="1"/>
    <col min="5" max="7" width="10.875" style="18" customWidth="1"/>
  </cols>
  <sheetData>
    <row r="1" spans="1:8" s="1" customFormat="1" ht="63" x14ac:dyDescent="0.25">
      <c r="A1" s="1" t="s">
        <v>14</v>
      </c>
      <c r="C1" s="19" t="s">
        <v>15</v>
      </c>
      <c r="D1" s="19" t="s">
        <v>16</v>
      </c>
      <c r="E1" s="19"/>
      <c r="F1" s="19" t="s">
        <v>8</v>
      </c>
      <c r="G1" s="19" t="s">
        <v>9</v>
      </c>
    </row>
    <row r="2" spans="1:8" x14ac:dyDescent="0.25">
      <c r="A2">
        <v>36</v>
      </c>
      <c r="C2" s="18">
        <v>0.65910004656016274</v>
      </c>
      <c r="D2" s="18">
        <v>5.3117180460981163E-2</v>
      </c>
      <c r="F2" s="18">
        <f>SUM(G6:G41)</f>
        <v>14097.280825537555</v>
      </c>
      <c r="G2" s="18">
        <f>SQRT(F2/(36-2))</f>
        <v>20.362364956788724</v>
      </c>
    </row>
    <row r="4" spans="1:8" ht="27" customHeight="1" x14ac:dyDescent="0.25">
      <c r="A4" s="1" t="s">
        <v>1</v>
      </c>
      <c r="B4" s="1" t="s">
        <v>3</v>
      </c>
      <c r="C4" s="18" t="s">
        <v>12</v>
      </c>
      <c r="D4" s="18" t="s">
        <v>28</v>
      </c>
      <c r="E4" s="19" t="s">
        <v>5</v>
      </c>
      <c r="F4" s="19" t="s">
        <v>6</v>
      </c>
      <c r="G4" s="19" t="s">
        <v>7</v>
      </c>
      <c r="H4" s="1"/>
    </row>
    <row r="5" spans="1:8" x14ac:dyDescent="0.25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 x14ac:dyDescent="0.25">
      <c r="A6">
        <v>1</v>
      </c>
      <c r="B6">
        <v>165</v>
      </c>
      <c r="C6" s="18">
        <f>C5+D5+C$2*F6</f>
        <v>162.17629159566249</v>
      </c>
      <c r="D6" s="18">
        <f>D5+D$2*C$2*F6</f>
        <v>1.1268874885939677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 x14ac:dyDescent="0.25">
      <c r="A7">
        <v>2</v>
      </c>
      <c r="B7">
        <v>171</v>
      </c>
      <c r="C7" s="18">
        <f t="shared" ref="C7:C41" si="0">C6+D6+C$2*F7</f>
        <v>168.37615410818827</v>
      </c>
      <c r="D7" s="18">
        <f t="shared" ref="D7:D41" si="1">D6+D$2*C$2*F7</f>
        <v>1.396349618414203</v>
      </c>
      <c r="E7" s="18">
        <f t="shared" ref="E7:E41" si="2">C6+D6</f>
        <v>163.30317908425647</v>
      </c>
      <c r="F7" s="18">
        <f t="shared" ref="F7:F41" si="3">B7-E7</f>
        <v>7.6968209157435297</v>
      </c>
      <c r="G7" s="18">
        <f t="shared" ref="G7:G41" si="4">F7^2</f>
        <v>59.241052209027067</v>
      </c>
    </row>
    <row r="8" spans="1:8" x14ac:dyDescent="0.25">
      <c r="A8">
        <v>3</v>
      </c>
      <c r="B8">
        <v>147</v>
      </c>
      <c r="C8" s="18">
        <f t="shared" si="0"/>
        <v>154.7631454601073</v>
      </c>
      <c r="D8" s="18">
        <f t="shared" si="1"/>
        <v>0.59909482676925951</v>
      </c>
      <c r="E8" s="18">
        <f t="shared" si="2"/>
        <v>169.77250372660248</v>
      </c>
      <c r="F8" s="18">
        <f t="shared" si="3"/>
        <v>-22.77250372660248</v>
      </c>
      <c r="G8" s="18">
        <f t="shared" si="4"/>
        <v>518.58692597812387</v>
      </c>
    </row>
    <row r="9" spans="1:8" x14ac:dyDescent="0.25">
      <c r="A9">
        <v>4</v>
      </c>
      <c r="B9">
        <v>143</v>
      </c>
      <c r="C9" s="18">
        <f t="shared" si="0"/>
        <v>147.21428713820831</v>
      </c>
      <c r="D9" s="18">
        <f t="shared" si="1"/>
        <v>0.16629852898382796</v>
      </c>
      <c r="E9" s="18">
        <f t="shared" si="2"/>
        <v>155.36224028687656</v>
      </c>
      <c r="F9" s="18">
        <f t="shared" si="3"/>
        <v>-12.362240286876556</v>
      </c>
      <c r="G9" s="18">
        <f t="shared" si="4"/>
        <v>152.82498491047375</v>
      </c>
    </row>
    <row r="10" spans="1:8" x14ac:dyDescent="0.25">
      <c r="A10">
        <v>5</v>
      </c>
      <c r="B10">
        <v>164</v>
      </c>
      <c r="C10" s="18">
        <f t="shared" si="0"/>
        <v>158.33444242774843</v>
      </c>
      <c r="D10" s="18">
        <f t="shared" si="1"/>
        <v>0.74813651527803593</v>
      </c>
      <c r="E10" s="18">
        <f t="shared" si="2"/>
        <v>147.38058566719212</v>
      </c>
      <c r="F10" s="18">
        <f t="shared" si="3"/>
        <v>16.619414332807878</v>
      </c>
      <c r="G10" s="18">
        <f t="shared" si="4"/>
        <v>276.20493276553992</v>
      </c>
    </row>
    <row r="11" spans="1:8" x14ac:dyDescent="0.25">
      <c r="A11">
        <v>6</v>
      </c>
      <c r="B11">
        <v>160</v>
      </c>
      <c r="C11" s="18">
        <f t="shared" si="0"/>
        <v>159.68725120439299</v>
      </c>
      <c r="D11" s="18">
        <f t="shared" si="1"/>
        <v>0.78025500090479105</v>
      </c>
      <c r="E11" s="18">
        <f t="shared" si="2"/>
        <v>159.08257894302648</v>
      </c>
      <c r="F11" s="18">
        <f t="shared" si="3"/>
        <v>0.91742105697352372</v>
      </c>
      <c r="G11" s="18">
        <f t="shared" si="4"/>
        <v>0.84166139577841748</v>
      </c>
    </row>
    <row r="12" spans="1:8" x14ac:dyDescent="0.25">
      <c r="A12">
        <v>7</v>
      </c>
      <c r="B12">
        <v>152</v>
      </c>
      <c r="C12" s="18">
        <f t="shared" si="0"/>
        <v>154.88657247113755</v>
      </c>
      <c r="D12" s="18">
        <f t="shared" si="1"/>
        <v>0.4838115366066244</v>
      </c>
      <c r="E12" s="18">
        <f t="shared" si="2"/>
        <v>160.46750620529778</v>
      </c>
      <c r="F12" s="18">
        <f t="shared" si="3"/>
        <v>-8.4675062052977808</v>
      </c>
      <c r="G12" s="18">
        <f t="shared" si="4"/>
        <v>71.698661336756416</v>
      </c>
    </row>
    <row r="13" spans="1:8" x14ac:dyDescent="0.25">
      <c r="A13">
        <v>8</v>
      </c>
      <c r="B13">
        <v>150</v>
      </c>
      <c r="C13" s="18">
        <f t="shared" si="0"/>
        <v>151.83076365819403</v>
      </c>
      <c r="D13" s="18">
        <f t="shared" si="1"/>
        <v>0.29579688373620833</v>
      </c>
      <c r="E13" s="18">
        <f t="shared" si="2"/>
        <v>155.37038400774418</v>
      </c>
      <c r="F13" s="18">
        <f t="shared" si="3"/>
        <v>-5.3703840077441782</v>
      </c>
      <c r="G13" s="18">
        <f t="shared" si="4"/>
        <v>28.841024390634423</v>
      </c>
    </row>
    <row r="14" spans="1:8" x14ac:dyDescent="0.25">
      <c r="A14">
        <v>9</v>
      </c>
      <c r="B14">
        <v>159</v>
      </c>
      <c r="C14" s="18">
        <f t="shared" si="0"/>
        <v>156.65684480877249</v>
      </c>
      <c r="D14" s="18">
        <f t="shared" si="1"/>
        <v>0.53643281067761106</v>
      </c>
      <c r="E14" s="18">
        <f t="shared" si="2"/>
        <v>152.12656054193025</v>
      </c>
      <c r="F14" s="18">
        <f t="shared" si="3"/>
        <v>6.873439458069754</v>
      </c>
      <c r="G14" s="18">
        <f t="shared" si="4"/>
        <v>47.244169983750233</v>
      </c>
    </row>
    <row r="15" spans="1:8" x14ac:dyDescent="0.25">
      <c r="A15">
        <v>10</v>
      </c>
      <c r="B15">
        <v>169</v>
      </c>
      <c r="C15" s="18">
        <f t="shared" si="0"/>
        <v>164.97508889019346</v>
      </c>
      <c r="D15" s="18">
        <f t="shared" si="1"/>
        <v>0.94978068425898288</v>
      </c>
      <c r="E15" s="18">
        <f t="shared" si="2"/>
        <v>157.1932776194501</v>
      </c>
      <c r="F15" s="18">
        <f t="shared" si="3"/>
        <v>11.8067223805499</v>
      </c>
      <c r="G15" s="18">
        <f t="shared" si="4"/>
        <v>139.3986933713779</v>
      </c>
    </row>
    <row r="16" spans="1:8" x14ac:dyDescent="0.25">
      <c r="A16">
        <v>11</v>
      </c>
      <c r="B16">
        <v>173</v>
      </c>
      <c r="C16" s="18">
        <f t="shared" si="0"/>
        <v>170.58808836735005</v>
      </c>
      <c r="D16" s="18">
        <f t="shared" si="1"/>
        <v>1.197477718410364</v>
      </c>
      <c r="E16" s="18">
        <f t="shared" si="2"/>
        <v>165.92486957445246</v>
      </c>
      <c r="F16" s="18">
        <f t="shared" si="3"/>
        <v>7.0751304255475418</v>
      </c>
      <c r="G16" s="18">
        <f t="shared" si="4"/>
        <v>50.057470538508539</v>
      </c>
    </row>
    <row r="17" spans="1:7" x14ac:dyDescent="0.25">
      <c r="A17">
        <v>12</v>
      </c>
      <c r="B17">
        <v>203</v>
      </c>
      <c r="C17" s="18">
        <f t="shared" si="0"/>
        <v>192.35900093198484</v>
      </c>
      <c r="D17" s="18">
        <f t="shared" si="1"/>
        <v>2.2902805698395055</v>
      </c>
      <c r="E17" s="18">
        <f t="shared" si="2"/>
        <v>171.78556608576042</v>
      </c>
      <c r="F17" s="18">
        <f t="shared" si="3"/>
        <v>31.214433914239578</v>
      </c>
      <c r="G17" s="18">
        <f t="shared" si="4"/>
        <v>974.34088458642998</v>
      </c>
    </row>
    <row r="18" spans="1:7" x14ac:dyDescent="0.25">
      <c r="A18">
        <v>13</v>
      </c>
      <c r="B18">
        <v>169</v>
      </c>
      <c r="C18" s="18">
        <f t="shared" si="0"/>
        <v>177.7438388697372</v>
      </c>
      <c r="D18" s="18">
        <f t="shared" si="1"/>
        <v>1.3923111227781684</v>
      </c>
      <c r="E18" s="18">
        <f t="shared" si="2"/>
        <v>194.64928150182433</v>
      </c>
      <c r="F18" s="18">
        <f t="shared" si="3"/>
        <v>-25.649281501824333</v>
      </c>
      <c r="G18" s="18">
        <f t="shared" si="4"/>
        <v>657.88564155982795</v>
      </c>
    </row>
    <row r="19" spans="1:7" x14ac:dyDescent="0.25">
      <c r="A19">
        <v>14</v>
      </c>
      <c r="B19">
        <v>166</v>
      </c>
      <c r="C19" s="18">
        <f t="shared" si="0"/>
        <v>170.47811292082721</v>
      </c>
      <c r="D19" s="18">
        <f t="shared" si="1"/>
        <v>0.93242060520344294</v>
      </c>
      <c r="E19" s="18">
        <f t="shared" si="2"/>
        <v>179.13614999251539</v>
      </c>
      <c r="F19" s="18">
        <f t="shared" si="3"/>
        <v>-13.136149992515385</v>
      </c>
      <c r="G19" s="18">
        <f t="shared" si="4"/>
        <v>172.55843662586196</v>
      </c>
    </row>
    <row r="20" spans="1:7" x14ac:dyDescent="0.25">
      <c r="A20">
        <v>15</v>
      </c>
      <c r="B20">
        <v>162</v>
      </c>
      <c r="C20" s="18">
        <f t="shared" si="0"/>
        <v>165.20805044086788</v>
      </c>
      <c r="D20" s="18">
        <f t="shared" si="1"/>
        <v>0.60296219186266831</v>
      </c>
      <c r="E20" s="18">
        <f t="shared" si="2"/>
        <v>171.41053352603066</v>
      </c>
      <c r="F20" s="18">
        <f t="shared" si="3"/>
        <v>-9.4105335260306617</v>
      </c>
      <c r="G20" s="18">
        <f t="shared" si="4"/>
        <v>88.558141244547073</v>
      </c>
    </row>
    <row r="21" spans="1:7" x14ac:dyDescent="0.25">
      <c r="A21">
        <v>16</v>
      </c>
      <c r="B21">
        <v>147</v>
      </c>
      <c r="C21" s="18">
        <f t="shared" si="0"/>
        <v>153.41267333065403</v>
      </c>
      <c r="D21" s="18">
        <f t="shared" si="1"/>
        <v>-5.5602634262205242E-2</v>
      </c>
      <c r="E21" s="18">
        <f t="shared" si="2"/>
        <v>165.81101263273055</v>
      </c>
      <c r="F21" s="18">
        <f t="shared" si="3"/>
        <v>-18.811012632730552</v>
      </c>
      <c r="G21" s="18">
        <f t="shared" si="4"/>
        <v>353.85419626874841</v>
      </c>
    </row>
    <row r="22" spans="1:7" x14ac:dyDescent="0.25">
      <c r="A22">
        <v>17</v>
      </c>
      <c r="B22">
        <v>188</v>
      </c>
      <c r="C22" s="18">
        <f t="shared" si="0"/>
        <v>176.19022701338039</v>
      </c>
      <c r="D22" s="18">
        <f t="shared" si="1"/>
        <v>1.1572302503210694</v>
      </c>
      <c r="E22" s="18">
        <f t="shared" si="2"/>
        <v>153.35707069639182</v>
      </c>
      <c r="F22" s="18">
        <f t="shared" si="3"/>
        <v>34.642929303608184</v>
      </c>
      <c r="G22" s="18">
        <f t="shared" si="4"/>
        <v>1200.1325507347947</v>
      </c>
    </row>
    <row r="23" spans="1:7" x14ac:dyDescent="0.25">
      <c r="A23">
        <v>18</v>
      </c>
      <c r="B23">
        <v>161</v>
      </c>
      <c r="C23" s="18">
        <f t="shared" si="0"/>
        <v>166.57284742005555</v>
      </c>
      <c r="D23" s="18">
        <f t="shared" si="1"/>
        <v>0.5849133548594655</v>
      </c>
      <c r="E23" s="18">
        <f t="shared" si="2"/>
        <v>177.34745726370147</v>
      </c>
      <c r="F23" s="18">
        <f t="shared" si="3"/>
        <v>-16.347457263701472</v>
      </c>
      <c r="G23" s="18">
        <f t="shared" si="4"/>
        <v>267.23935898854603</v>
      </c>
    </row>
    <row r="24" spans="1:7" x14ac:dyDescent="0.25">
      <c r="A24">
        <v>19</v>
      </c>
      <c r="B24">
        <v>162</v>
      </c>
      <c r="C24" s="18">
        <f t="shared" si="0"/>
        <v>163.75828040802236</v>
      </c>
      <c r="D24" s="18">
        <f t="shared" si="1"/>
        <v>0.40434254273766557</v>
      </c>
      <c r="E24" s="18">
        <f t="shared" si="2"/>
        <v>167.157760774915</v>
      </c>
      <c r="F24" s="18">
        <f t="shared" si="3"/>
        <v>-5.1577607749150047</v>
      </c>
      <c r="G24" s="18">
        <f t="shared" si="4"/>
        <v>26.602496211251829</v>
      </c>
    </row>
    <row r="25" spans="1:7" x14ac:dyDescent="0.25">
      <c r="A25">
        <v>20</v>
      </c>
      <c r="B25">
        <v>169</v>
      </c>
      <c r="C25" s="18">
        <f t="shared" si="0"/>
        <v>167.35093838914315</v>
      </c>
      <c r="D25" s="18">
        <f t="shared" si="1"/>
        <v>0.57369686924479502</v>
      </c>
      <c r="E25" s="18">
        <f t="shared" si="2"/>
        <v>164.16262295076001</v>
      </c>
      <c r="F25" s="18">
        <f t="shared" si="3"/>
        <v>4.8373770492399899</v>
      </c>
      <c r="G25" s="18">
        <f t="shared" si="4"/>
        <v>23.400216716513793</v>
      </c>
    </row>
    <row r="26" spans="1:7" x14ac:dyDescent="0.25">
      <c r="A26">
        <v>21</v>
      </c>
      <c r="B26">
        <v>185</v>
      </c>
      <c r="C26" s="18">
        <f t="shared" si="0"/>
        <v>179.17900895461622</v>
      </c>
      <c r="D26" s="18">
        <f t="shared" si="1"/>
        <v>1.1714974678426713</v>
      </c>
      <c r="E26" s="18">
        <f t="shared" si="2"/>
        <v>167.92463525838795</v>
      </c>
      <c r="F26" s="18">
        <f t="shared" si="3"/>
        <v>17.075364741612049</v>
      </c>
      <c r="G26" s="18">
        <f t="shared" si="4"/>
        <v>291.56808105908789</v>
      </c>
    </row>
    <row r="27" spans="1:7" x14ac:dyDescent="0.25">
      <c r="A27">
        <v>22</v>
      </c>
      <c r="B27">
        <v>188</v>
      </c>
      <c r="C27" s="18">
        <f t="shared" si="0"/>
        <v>185.3922879955779</v>
      </c>
      <c r="D27" s="18">
        <f t="shared" si="1"/>
        <v>1.4393026895068832</v>
      </c>
      <c r="E27" s="18">
        <f t="shared" si="2"/>
        <v>180.35050642245889</v>
      </c>
      <c r="F27" s="18">
        <f t="shared" si="3"/>
        <v>7.6494935775411079</v>
      </c>
      <c r="G27" s="18">
        <f t="shared" si="4"/>
        <v>58.514751992842655</v>
      </c>
    </row>
    <row r="28" spans="1:7" x14ac:dyDescent="0.25">
      <c r="A28">
        <v>23</v>
      </c>
      <c r="B28">
        <v>200</v>
      </c>
      <c r="C28" s="18">
        <f t="shared" si="0"/>
        <v>195.51088987766869</v>
      </c>
      <c r="D28" s="18">
        <f t="shared" si="1"/>
        <v>1.9003225909942101</v>
      </c>
      <c r="E28" s="18">
        <f t="shared" si="2"/>
        <v>186.83159068508479</v>
      </c>
      <c r="F28" s="18">
        <f t="shared" si="3"/>
        <v>13.168409314915209</v>
      </c>
      <c r="G28" s="18">
        <f t="shared" si="4"/>
        <v>173.40700388514566</v>
      </c>
    </row>
    <row r="29" spans="1:7" x14ac:dyDescent="0.25">
      <c r="A29">
        <v>24</v>
      </c>
      <c r="B29">
        <v>229</v>
      </c>
      <c r="C29" s="18">
        <f t="shared" si="0"/>
        <v>218.23138380134628</v>
      </c>
      <c r="D29" s="18">
        <f t="shared" si="1"/>
        <v>3.0062313889008987</v>
      </c>
      <c r="E29" s="18">
        <f t="shared" si="2"/>
        <v>197.41121246866291</v>
      </c>
      <c r="F29" s="18">
        <f t="shared" si="3"/>
        <v>31.58878753133709</v>
      </c>
      <c r="G29" s="18">
        <f t="shared" si="4"/>
        <v>997.85149769995758</v>
      </c>
    </row>
    <row r="30" spans="1:7" x14ac:dyDescent="0.25">
      <c r="A30">
        <v>25</v>
      </c>
      <c r="B30">
        <v>189</v>
      </c>
      <c r="C30" s="18">
        <f t="shared" si="0"/>
        <v>199.98980151736666</v>
      </c>
      <c r="D30" s="18">
        <f t="shared" si="1"/>
        <v>1.8776074356372012</v>
      </c>
      <c r="E30" s="18">
        <f t="shared" si="2"/>
        <v>221.23761519024717</v>
      </c>
      <c r="F30" s="18">
        <f t="shared" si="3"/>
        <v>-32.237615190247169</v>
      </c>
      <c r="G30" s="18">
        <f t="shared" si="4"/>
        <v>1039.2638331544549</v>
      </c>
    </row>
    <row r="31" spans="1:7" x14ac:dyDescent="0.25">
      <c r="A31">
        <v>26</v>
      </c>
      <c r="B31">
        <v>218</v>
      </c>
      <c r="C31" s="18">
        <f t="shared" si="0"/>
        <v>212.50040046321507</v>
      </c>
      <c r="D31" s="18">
        <f t="shared" si="1"/>
        <v>2.4424019645251711</v>
      </c>
      <c r="E31" s="18">
        <f t="shared" si="2"/>
        <v>201.86740895300386</v>
      </c>
      <c r="F31" s="18">
        <f t="shared" si="3"/>
        <v>16.13259104699614</v>
      </c>
      <c r="G31" s="18">
        <f t="shared" si="4"/>
        <v>260.26049388962002</v>
      </c>
    </row>
    <row r="32" spans="1:7" x14ac:dyDescent="0.25">
      <c r="A32">
        <v>27</v>
      </c>
      <c r="B32">
        <v>185</v>
      </c>
      <c r="C32" s="18">
        <f t="shared" si="0"/>
        <v>195.20749995347489</v>
      </c>
      <c r="D32" s="18">
        <f t="shared" si="1"/>
        <v>1.3941183415475704</v>
      </c>
      <c r="E32" s="18">
        <f t="shared" si="2"/>
        <v>214.94280242774025</v>
      </c>
      <c r="F32" s="18">
        <f t="shared" si="3"/>
        <v>-29.942802427740247</v>
      </c>
      <c r="G32" s="18">
        <f t="shared" si="4"/>
        <v>896.57141722668723</v>
      </c>
    </row>
    <row r="33" spans="1:7" x14ac:dyDescent="0.25">
      <c r="A33">
        <v>28</v>
      </c>
      <c r="B33">
        <v>199</v>
      </c>
      <c r="C33" s="18">
        <f t="shared" si="0"/>
        <v>198.1823917884422</v>
      </c>
      <c r="D33" s="18">
        <f t="shared" si="1"/>
        <v>1.4780845724654823</v>
      </c>
      <c r="E33" s="18">
        <f t="shared" si="2"/>
        <v>196.60161829502246</v>
      </c>
      <c r="F33" s="18">
        <f t="shared" si="3"/>
        <v>2.3983817049775382</v>
      </c>
      <c r="G33" s="18">
        <f t="shared" si="4"/>
        <v>5.7522348027709631</v>
      </c>
    </row>
    <row r="34" spans="1:7" x14ac:dyDescent="0.25">
      <c r="A34">
        <v>29</v>
      </c>
      <c r="B34">
        <v>210</v>
      </c>
      <c r="C34" s="18">
        <f t="shared" si="0"/>
        <v>206.47525687284335</v>
      </c>
      <c r="D34" s="18">
        <f t="shared" si="1"/>
        <v>1.8400664987199453</v>
      </c>
      <c r="E34" s="18">
        <f t="shared" si="2"/>
        <v>199.66047636090769</v>
      </c>
      <c r="F34" s="18">
        <f t="shared" si="3"/>
        <v>10.339523639092306</v>
      </c>
      <c r="G34" s="18">
        <f t="shared" si="4"/>
        <v>106.9057490833486</v>
      </c>
    </row>
    <row r="35" spans="1:7" x14ac:dyDescent="0.25">
      <c r="A35">
        <v>30</v>
      </c>
      <c r="B35">
        <v>193</v>
      </c>
      <c r="C35" s="18">
        <f t="shared" si="0"/>
        <v>198.22099302428197</v>
      </c>
      <c r="D35" s="18">
        <f t="shared" si="1"/>
        <v>1.3038841320306451</v>
      </c>
      <c r="E35" s="18">
        <f t="shared" si="2"/>
        <v>208.3153233715633</v>
      </c>
      <c r="F35" s="18">
        <f t="shared" si="3"/>
        <v>-15.315323371563295</v>
      </c>
      <c r="G35" s="18">
        <f t="shared" si="4"/>
        <v>234.55912997555291</v>
      </c>
    </row>
    <row r="36" spans="1:7" x14ac:dyDescent="0.25">
      <c r="A36">
        <v>31</v>
      </c>
      <c r="B36">
        <v>211</v>
      </c>
      <c r="C36" s="18">
        <f t="shared" si="0"/>
        <v>207.08813115687056</v>
      </c>
      <c r="D36" s="18">
        <f t="shared" si="1"/>
        <v>1.7056228596505192</v>
      </c>
      <c r="E36" s="18">
        <f t="shared" si="2"/>
        <v>199.52487715631261</v>
      </c>
      <c r="F36" s="18">
        <f t="shared" si="3"/>
        <v>11.475122843687387</v>
      </c>
      <c r="G36" s="18">
        <f t="shared" si="4"/>
        <v>131.67844427771612</v>
      </c>
    </row>
    <row r="37" spans="1:7" x14ac:dyDescent="0.25">
      <c r="A37">
        <v>32</v>
      </c>
      <c r="B37">
        <v>208</v>
      </c>
      <c r="C37" s="18">
        <f t="shared" si="0"/>
        <v>208.27059070727472</v>
      </c>
      <c r="D37" s="18">
        <f t="shared" si="1"/>
        <v>1.6778338997427158</v>
      </c>
      <c r="E37" s="18">
        <f t="shared" si="2"/>
        <v>208.79375401652109</v>
      </c>
      <c r="F37" s="18">
        <f t="shared" si="3"/>
        <v>-0.7937540165210919</v>
      </c>
      <c r="G37" s="18">
        <f t="shared" si="4"/>
        <v>0.63004543874336583</v>
      </c>
    </row>
    <row r="38" spans="1:7" x14ac:dyDescent="0.25">
      <c r="A38">
        <v>33</v>
      </c>
      <c r="B38">
        <v>216</v>
      </c>
      <c r="C38" s="18">
        <f t="shared" si="0"/>
        <v>213.93701823029457</v>
      </c>
      <c r="D38" s="18">
        <f t="shared" si="1"/>
        <v>1.8896967470158463</v>
      </c>
      <c r="E38" s="18">
        <f t="shared" si="2"/>
        <v>209.94842460701744</v>
      </c>
      <c r="F38" s="18">
        <f t="shared" si="3"/>
        <v>6.0515753929825564</v>
      </c>
      <c r="G38" s="18">
        <f t="shared" si="4"/>
        <v>36.621564736951981</v>
      </c>
    </row>
    <row r="39" spans="1:7" x14ac:dyDescent="0.25">
      <c r="A39">
        <v>34</v>
      </c>
      <c r="B39">
        <v>218</v>
      </c>
      <c r="C39" s="18">
        <f t="shared" si="0"/>
        <v>217.25912723695362</v>
      </c>
      <c r="D39" s="18">
        <f t="shared" si="1"/>
        <v>1.9657824475058365</v>
      </c>
      <c r="E39" s="18">
        <f t="shared" si="2"/>
        <v>215.82671497731042</v>
      </c>
      <c r="F39" s="18">
        <f t="shared" si="3"/>
        <v>2.1732850226895835</v>
      </c>
      <c r="G39" s="18">
        <f t="shared" si="4"/>
        <v>4.7231677898468636</v>
      </c>
    </row>
    <row r="40" spans="1:7" x14ac:dyDescent="0.25">
      <c r="A40">
        <v>35</v>
      </c>
      <c r="B40">
        <v>264</v>
      </c>
      <c r="C40" s="18">
        <f t="shared" si="0"/>
        <v>248.73617379616772</v>
      </c>
      <c r="D40" s="18">
        <f t="shared" si="1"/>
        <v>3.5333375889591219</v>
      </c>
      <c r="E40" s="18">
        <f t="shared" si="2"/>
        <v>219.22490968445945</v>
      </c>
      <c r="F40" s="18">
        <f t="shared" si="3"/>
        <v>44.775090315540552</v>
      </c>
      <c r="G40" s="18">
        <f t="shared" si="4"/>
        <v>2004.8087127648134</v>
      </c>
    </row>
    <row r="41" spans="1:7" x14ac:dyDescent="0.25">
      <c r="A41">
        <v>36</v>
      </c>
      <c r="B41">
        <v>304</v>
      </c>
      <c r="C41" s="18">
        <f t="shared" si="0"/>
        <v>286.36507883976969</v>
      </c>
      <c r="D41" s="18">
        <f t="shared" si="1"/>
        <v>5.3443979983669436</v>
      </c>
      <c r="E41" s="18">
        <f t="shared" si="2"/>
        <v>252.26951138512683</v>
      </c>
      <c r="F41" s="18">
        <f t="shared" si="3"/>
        <v>51.730488614873167</v>
      </c>
      <c r="G41" s="18">
        <f t="shared" si="4"/>
        <v>2676.0434523335225</v>
      </c>
    </row>
    <row r="42" spans="1:7" x14ac:dyDescent="0.25">
      <c r="A42" s="4">
        <v>37</v>
      </c>
      <c r="B42" s="5">
        <f>C$41+(A42-A$41)*D$41</f>
        <v>291.70947683813665</v>
      </c>
      <c r="C42" s="21"/>
      <c r="D42" s="21"/>
      <c r="E42" s="21"/>
      <c r="F42" s="21"/>
      <c r="G42" s="21"/>
    </row>
    <row r="43" spans="1:7" x14ac:dyDescent="0.25">
      <c r="A43" s="4">
        <v>38</v>
      </c>
      <c r="B43" s="5">
        <f t="shared" ref="B43:B53" si="5">C$41+(A43-A$41)*D$41</f>
        <v>297.05387483650361</v>
      </c>
      <c r="C43" s="21"/>
      <c r="D43" s="21"/>
      <c r="E43" s="21"/>
      <c r="F43" s="21"/>
      <c r="G43" s="21"/>
    </row>
    <row r="44" spans="1:7" x14ac:dyDescent="0.25">
      <c r="A44" s="4">
        <v>39</v>
      </c>
      <c r="B44" s="5">
        <f t="shared" si="5"/>
        <v>302.39827283487051</v>
      </c>
      <c r="C44" s="21"/>
      <c r="D44" s="21"/>
      <c r="E44" s="21"/>
      <c r="F44" s="21"/>
      <c r="G44" s="21"/>
    </row>
    <row r="45" spans="1:7" x14ac:dyDescent="0.25">
      <c r="A45" s="4">
        <v>40</v>
      </c>
      <c r="B45" s="5">
        <f t="shared" si="5"/>
        <v>307.74267083323747</v>
      </c>
      <c r="C45" s="21"/>
      <c r="D45" s="21"/>
      <c r="E45" s="21"/>
      <c r="F45" s="21"/>
      <c r="G45" s="21"/>
    </row>
    <row r="46" spans="1:7" x14ac:dyDescent="0.25">
      <c r="A46" s="4">
        <v>41</v>
      </c>
      <c r="B46" s="5">
        <f t="shared" si="5"/>
        <v>313.08706883160443</v>
      </c>
      <c r="C46" s="21"/>
      <c r="D46" s="21"/>
      <c r="E46" s="21"/>
      <c r="F46" s="21"/>
      <c r="G46" s="21"/>
    </row>
    <row r="47" spans="1:7" x14ac:dyDescent="0.25">
      <c r="A47" s="4">
        <v>42</v>
      </c>
      <c r="B47" s="5">
        <f t="shared" si="5"/>
        <v>318.43146682997133</v>
      </c>
      <c r="C47" s="21"/>
      <c r="D47" s="21"/>
      <c r="E47" s="21"/>
      <c r="F47" s="21"/>
      <c r="G47" s="21"/>
    </row>
    <row r="48" spans="1:7" x14ac:dyDescent="0.25">
      <c r="A48" s="4">
        <v>43</v>
      </c>
      <c r="B48" s="5">
        <f t="shared" si="5"/>
        <v>323.77586482833829</v>
      </c>
      <c r="C48" s="21"/>
      <c r="D48" s="21"/>
      <c r="E48" s="21"/>
      <c r="F48" s="21"/>
      <c r="G48" s="21"/>
    </row>
    <row r="49" spans="1:7" x14ac:dyDescent="0.25">
      <c r="A49" s="4">
        <v>44</v>
      </c>
      <c r="B49" s="5">
        <f t="shared" si="5"/>
        <v>329.12026282670524</v>
      </c>
      <c r="C49" s="21"/>
      <c r="D49" s="21"/>
      <c r="E49" s="21"/>
      <c r="F49" s="21"/>
      <c r="G49" s="21"/>
    </row>
    <row r="50" spans="1:7" x14ac:dyDescent="0.25">
      <c r="A50" s="4">
        <v>45</v>
      </c>
      <c r="B50" s="5">
        <f t="shared" si="5"/>
        <v>334.4646608250722</v>
      </c>
      <c r="C50" s="21"/>
      <c r="D50" s="21"/>
      <c r="E50" s="21"/>
      <c r="F50" s="21"/>
      <c r="G50" s="21"/>
    </row>
    <row r="51" spans="1:7" x14ac:dyDescent="0.25">
      <c r="A51" s="4">
        <v>46</v>
      </c>
      <c r="B51" s="5">
        <f t="shared" si="5"/>
        <v>339.80905882343916</v>
      </c>
      <c r="C51" s="21"/>
      <c r="D51" s="21"/>
      <c r="E51" s="21"/>
      <c r="F51" s="21"/>
      <c r="G51" s="21"/>
    </row>
    <row r="52" spans="1:7" x14ac:dyDescent="0.25">
      <c r="A52" s="4">
        <v>47</v>
      </c>
      <c r="B52" s="5">
        <f t="shared" si="5"/>
        <v>345.15345682180606</v>
      </c>
      <c r="C52" s="21"/>
      <c r="D52" s="21"/>
      <c r="E52" s="21"/>
      <c r="F52" s="21"/>
      <c r="G52" s="21"/>
    </row>
    <row r="53" spans="1:7" x14ac:dyDescent="0.25">
      <c r="A53" s="4">
        <v>48</v>
      </c>
      <c r="B53" s="5">
        <f t="shared" si="5"/>
        <v>350.49785482017302</v>
      </c>
      <c r="C53" s="21"/>
      <c r="D53" s="21"/>
      <c r="E53" s="21"/>
      <c r="F53" s="21"/>
      <c r="G53" s="2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8"/>
    <col min="5" max="15" width="10.875" style="17"/>
  </cols>
  <sheetData>
    <row r="1" spans="1:15" x14ac:dyDescent="0.25">
      <c r="A1" t="s">
        <v>1</v>
      </c>
      <c r="B1" t="s">
        <v>25</v>
      </c>
      <c r="C1" t="s">
        <v>10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 x14ac:dyDescent="0.25">
      <c r="C40" s="18" t="s">
        <v>11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 x14ac:dyDescent="0.25">
      <c r="C41" s="18" t="s">
        <v>26</v>
      </c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 x14ac:dyDescent="0.25">
      <c r="C42" s="18" t="s">
        <v>27</v>
      </c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37"/>
  <sheetViews>
    <sheetView workbookViewId="0"/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H64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6" max="8" width="10.875" customWidth="1"/>
  </cols>
  <sheetData>
    <row r="1" spans="1:8" ht="63" x14ac:dyDescent="0.25">
      <c r="A1" s="1" t="s">
        <v>14</v>
      </c>
      <c r="B1" s="1"/>
      <c r="C1" s="19" t="s">
        <v>15</v>
      </c>
      <c r="D1" s="19" t="s">
        <v>16</v>
      </c>
      <c r="E1" s="19" t="s">
        <v>18</v>
      </c>
      <c r="G1" s="19" t="s">
        <v>8</v>
      </c>
      <c r="H1" s="19" t="s">
        <v>9</v>
      </c>
    </row>
    <row r="2" spans="1:8" x14ac:dyDescent="0.25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 x14ac:dyDescent="0.25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 x14ac:dyDescent="0.25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 x14ac:dyDescent="0.25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 x14ac:dyDescent="0.25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 x14ac:dyDescent="0.25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 x14ac:dyDescent="0.25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 x14ac:dyDescent="0.25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 x14ac:dyDescent="0.25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 x14ac:dyDescent="0.25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 x14ac:dyDescent="0.25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 x14ac:dyDescent="0.25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 x14ac:dyDescent="0.25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 x14ac:dyDescent="0.25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 x14ac:dyDescent="0.25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 x14ac:dyDescent="0.25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 x14ac:dyDescent="0.25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 x14ac:dyDescent="0.25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 x14ac:dyDescent="0.25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 x14ac:dyDescent="0.25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 x14ac:dyDescent="0.25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 x14ac:dyDescent="0.25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 x14ac:dyDescent="0.25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 x14ac:dyDescent="0.25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 x14ac:dyDescent="0.25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 x14ac:dyDescent="0.25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 x14ac:dyDescent="0.25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 x14ac:dyDescent="0.25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 x14ac:dyDescent="0.25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 x14ac:dyDescent="0.25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 x14ac:dyDescent="0.25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 x14ac:dyDescent="0.25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 x14ac:dyDescent="0.25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 x14ac:dyDescent="0.25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 x14ac:dyDescent="0.25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 x14ac:dyDescent="0.25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 x14ac:dyDescent="0.2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25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25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25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25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25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25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25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25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25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25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25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3">
        <f ca="1">F53+G53</f>
        <v>248.05166151781054</v>
      </c>
      <c r="C53" s="21">
        <f t="shared" ref="C53:C64" ca="1" si="6">C52+D52+C$2*G53/E41</f>
        <v>249.14614090601387</v>
      </c>
      <c r="D53" s="21">
        <f t="shared" ref="D53:D64" ca="1" si="7">D52+D$2*C$2*G53/E41</f>
        <v>5.4015152260347223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2.6517197331274476</v>
      </c>
      <c r="H53" s="4"/>
    </row>
    <row r="54" spans="1:8" x14ac:dyDescent="0.25">
      <c r="A54" s="4">
        <v>38</v>
      </c>
      <c r="B54" s="23">
        <f t="shared" ref="B54:B64" ca="1" si="10">F54+G54</f>
        <v>268.24245021777671</v>
      </c>
      <c r="C54" s="21">
        <f t="shared" ca="1" si="6"/>
        <v>255.62649231186879</v>
      </c>
      <c r="D54" s="21">
        <f t="shared" ca="1" si="7"/>
        <v>5.6480777691036375</v>
      </c>
      <c r="E54" s="21">
        <f t="shared" ca="1" si="2"/>
        <v>1.0394595142086607</v>
      </c>
      <c r="F54" s="21">
        <f t="shared" ca="1" si="8"/>
        <v>264.59198298597244</v>
      </c>
      <c r="G54" s="4">
        <f t="shared" ca="1" si="9"/>
        <v>3.6504672318042775</v>
      </c>
      <c r="H54" s="4"/>
    </row>
    <row r="55" spans="1:8" x14ac:dyDescent="0.25">
      <c r="A55" s="4">
        <v>39</v>
      </c>
      <c r="B55" s="23">
        <f t="shared" ca="1" si="10"/>
        <v>226.86998320662892</v>
      </c>
      <c r="C55" s="21">
        <f t="shared" ca="1" si="6"/>
        <v>255.71576051634915</v>
      </c>
      <c r="D55" s="21">
        <f t="shared" ca="1" si="7"/>
        <v>4.3776400063306777</v>
      </c>
      <c r="E55" s="21">
        <f t="shared" ca="1" si="2"/>
        <v>0.93293329171244777</v>
      </c>
      <c r="F55" s="21">
        <f t="shared" ca="1" si="8"/>
        <v>243.75174470639621</v>
      </c>
      <c r="G55" s="4">
        <f t="shared" ca="1" si="9"/>
        <v>-16.881761499767293</v>
      </c>
      <c r="H55" s="4"/>
    </row>
    <row r="56" spans="1:8" x14ac:dyDescent="0.25">
      <c r="A56" s="4">
        <v>40</v>
      </c>
      <c r="B56" s="23">
        <f t="shared" ca="1" si="10"/>
        <v>244.38438295530949</v>
      </c>
      <c r="C56" s="21">
        <f t="shared" ca="1" si="6"/>
        <v>262.45770277640065</v>
      </c>
      <c r="D56" s="21">
        <f t="shared" ca="1" si="7"/>
        <v>4.9179893078883286</v>
      </c>
      <c r="E56" s="21">
        <f t="shared" ca="1" si="2"/>
        <v>0.91259775591054715</v>
      </c>
      <c r="F56" s="21">
        <f t="shared" ca="1" si="8"/>
        <v>237.36065364414074</v>
      </c>
      <c r="G56" s="4">
        <f t="shared" ca="1" si="9"/>
        <v>7.0237293111687649</v>
      </c>
      <c r="H56" s="4"/>
    </row>
    <row r="57" spans="1:8" x14ac:dyDescent="0.25">
      <c r="A57" s="4">
        <v>41</v>
      </c>
      <c r="B57" s="23">
        <f t="shared" ca="1" si="10"/>
        <v>292.3915164754381</v>
      </c>
      <c r="C57" s="21">
        <f t="shared" ca="1" si="6"/>
        <v>271.35647740993846</v>
      </c>
      <c r="D57" s="21">
        <f t="shared" ca="1" si="7"/>
        <v>5.827777625765397</v>
      </c>
      <c r="E57" s="21">
        <f t="shared" ca="1" si="2"/>
        <v>1.0430106047420362</v>
      </c>
      <c r="F57" s="21">
        <f t="shared" ca="1" si="8"/>
        <v>278.87568229415473</v>
      </c>
      <c r="G57" s="4">
        <f t="shared" ca="1" si="9"/>
        <v>13.51583418128336</v>
      </c>
      <c r="H57" s="4"/>
    </row>
    <row r="58" spans="1:8" x14ac:dyDescent="0.25">
      <c r="A58" s="4">
        <v>42</v>
      </c>
      <c r="B58" s="23">
        <f t="shared" ca="1" si="10"/>
        <v>250.30035272833121</v>
      </c>
      <c r="C58" s="21">
        <f t="shared" ca="1" si="6"/>
        <v>276.8618834892913</v>
      </c>
      <c r="D58" s="21">
        <f t="shared" ca="1" si="7"/>
        <v>5.754101242100008</v>
      </c>
      <c r="E58" s="21">
        <f t="shared" ca="1" si="2"/>
        <v>0.90644245153667458</v>
      </c>
      <c r="F58" s="21">
        <f t="shared" ca="1" si="8"/>
        <v>251.25157566193025</v>
      </c>
      <c r="G58" s="4">
        <f t="shared" ca="1" si="9"/>
        <v>-0.95122293359902721</v>
      </c>
      <c r="H58" s="4"/>
    </row>
    <row r="59" spans="1:8" x14ac:dyDescent="0.25">
      <c r="A59" s="4">
        <v>43</v>
      </c>
      <c r="B59" s="23">
        <f t="shared" ca="1" si="10"/>
        <v>263.32015233634462</v>
      </c>
      <c r="C59" s="21">
        <f t="shared" ca="1" si="6"/>
        <v>283.64239504485494</v>
      </c>
      <c r="D59" s="21">
        <f t="shared" ca="1" si="7"/>
        <v>5.9886821190241761</v>
      </c>
      <c r="E59" s="21">
        <f t="shared" ca="1" si="2"/>
        <v>0.92083758937691518</v>
      </c>
      <c r="F59" s="21">
        <f t="shared" ca="1" si="8"/>
        <v>260.24342209943745</v>
      </c>
      <c r="G59" s="4">
        <f t="shared" ca="1" si="9"/>
        <v>3.0767302369071623</v>
      </c>
      <c r="H59" s="4"/>
    </row>
    <row r="60" spans="1:8" x14ac:dyDescent="0.25">
      <c r="A60" s="4">
        <v>44</v>
      </c>
      <c r="B60" s="23">
        <f t="shared" ca="1" si="10"/>
        <v>280.328118228797</v>
      </c>
      <c r="C60" s="21">
        <f t="shared" ca="1" si="6"/>
        <v>293.5927321184663</v>
      </c>
      <c r="D60" s="21">
        <f t="shared" ca="1" si="7"/>
        <v>6.8940982875173038</v>
      </c>
      <c r="E60" s="21">
        <f t="shared" ca="1" si="2"/>
        <v>0.92662094367181047</v>
      </c>
      <c r="F60" s="21">
        <f t="shared" ca="1" si="8"/>
        <v>268.37822203827665</v>
      </c>
      <c r="G60" s="4">
        <f t="shared" ca="1" si="9"/>
        <v>11.949896190520334</v>
      </c>
      <c r="H60" s="4"/>
    </row>
    <row r="61" spans="1:8" x14ac:dyDescent="0.25">
      <c r="A61" s="4">
        <v>45</v>
      </c>
      <c r="B61" s="23">
        <f t="shared" ca="1" si="10"/>
        <v>293.22371938767748</v>
      </c>
      <c r="C61" s="21">
        <f t="shared" ca="1" si="6"/>
        <v>299.30442530203635</v>
      </c>
      <c r="D61" s="21">
        <f t="shared" ca="1" si="7"/>
        <v>6.6238655915620406</v>
      </c>
      <c r="E61" s="21">
        <f t="shared" ca="1" si="2"/>
        <v>0.98849075287229571</v>
      </c>
      <c r="F61" s="21">
        <f t="shared" ca="1" si="8"/>
        <v>297.02845321622056</v>
      </c>
      <c r="G61" s="4">
        <f t="shared" ca="1" si="9"/>
        <v>-3.8047338285430721</v>
      </c>
      <c r="H61" s="4"/>
    </row>
    <row r="62" spans="1:8" x14ac:dyDescent="0.25">
      <c r="A62" s="4">
        <v>46</v>
      </c>
      <c r="B62" s="23">
        <f t="shared" ca="1" si="10"/>
        <v>304.64614880321614</v>
      </c>
      <c r="C62" s="21">
        <f t="shared" ca="1" si="6"/>
        <v>304.04236903292338</v>
      </c>
      <c r="D62" s="21">
        <f t="shared" ca="1" si="7"/>
        <v>6.1928477051626558</v>
      </c>
      <c r="E62" s="21">
        <f t="shared" ca="1" si="2"/>
        <v>1.0162014531884298</v>
      </c>
      <c r="F62" s="21">
        <f t="shared" ca="1" si="8"/>
        <v>310.88477377752736</v>
      </c>
      <c r="G62" s="4">
        <f t="shared" ca="1" si="9"/>
        <v>-6.2386249743112119</v>
      </c>
      <c r="H62" s="4"/>
    </row>
    <row r="63" spans="1:8" x14ac:dyDescent="0.25">
      <c r="A63" s="4">
        <v>47</v>
      </c>
      <c r="B63" s="23">
        <f t="shared" ca="1" si="10"/>
        <v>324.5918604359573</v>
      </c>
      <c r="C63" s="21">
        <f t="shared" ca="1" si="6"/>
        <v>310.07371795905152</v>
      </c>
      <c r="D63" s="21">
        <f t="shared" ca="1" si="7"/>
        <v>6.1559379774337346</v>
      </c>
      <c r="E63" s="21">
        <f t="shared" ca="1" si="2"/>
        <v>1.0480526558060541</v>
      </c>
      <c r="F63" s="21">
        <f t="shared" ca="1" si="8"/>
        <v>325.14284282691784</v>
      </c>
      <c r="G63" s="4">
        <f t="shared" ca="1" si="9"/>
        <v>-0.55098239096052692</v>
      </c>
      <c r="H63" s="4"/>
    </row>
    <row r="64" spans="1:8" x14ac:dyDescent="0.25">
      <c r="A64" s="4">
        <v>48</v>
      </c>
      <c r="B64" s="23">
        <f t="shared" ca="1" si="10"/>
        <v>379.89945293214907</v>
      </c>
      <c r="C64" s="21">
        <f t="shared" ca="1" si="6"/>
        <v>316.01466989029291</v>
      </c>
      <c r="D64" s="21">
        <f t="shared" ca="1" si="7"/>
        <v>6.1068040057844506</v>
      </c>
      <c r="E64" s="21">
        <f t="shared" ca="1" si="2"/>
        <v>1.2040049076184032</v>
      </c>
      <c r="F64" s="21">
        <f t="shared" ca="1" si="8"/>
        <v>380.74205768200733</v>
      </c>
      <c r="G64" s="4">
        <f t="shared" ca="1" si="9"/>
        <v>-0.84260474985827094</v>
      </c>
      <c r="H64" s="4"/>
    </row>
    <row r="65" spans="1:12" x14ac:dyDescent="0.25">
      <c r="B65" s="18"/>
      <c r="C65" s="18"/>
      <c r="D65" s="18"/>
      <c r="E65" s="18"/>
      <c r="F65" s="18"/>
    </row>
    <row r="66" spans="1:12" x14ac:dyDescent="0.25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 x14ac:dyDescent="0.25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Kent, Kevin - Indianapolis</cp:lastModifiedBy>
  <dcterms:created xsi:type="dcterms:W3CDTF">2013-04-01T16:41:05Z</dcterms:created>
  <dcterms:modified xsi:type="dcterms:W3CDTF">2013-08-13T13:07:45Z</dcterms:modified>
</cp:coreProperties>
</file>