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16" codeName="{899C9086-67A9-5B14-2C2D-5A8001700F7D}"/>
  <workbookPr codeName="현재_통합_문서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oppad\Dropbox\9. 내 드롭박스\@. #오빠두\## 홈페이지 공유파일\3. 자료실\176032_쿠팡 네이버페이 연말정산\"/>
    </mc:Choice>
  </mc:AlternateContent>
  <xr:revisionPtr revIDLastSave="0" documentId="13_ncr:1_{3404448C-A4AA-4726-89C1-D84CD0722ED4}" xr6:coauthVersionLast="47" xr6:coauthVersionMax="47" xr10:uidLastSave="{00000000-0000-0000-0000-000000000000}"/>
  <bookViews>
    <workbookView xWindow="-108" yWindow="-108" windowWidth="23256" windowHeight="14856" xr2:uid="{27FE90E1-DFBF-4DFE-A609-5ADF20AA74AC}"/>
  </bookViews>
  <sheets>
    <sheet name="쿠팡" sheetId="1" r:id="rId1"/>
    <sheet name="네이버" sheetId="2" r:id="rId2"/>
  </sheets>
  <functionGroups builtInGroupCount="19"/>
  <definedNames>
    <definedName name="_xlnm._FilterDatabase" localSheetId="0" hidden="1">쿠팡!$G$1:$P$1</definedName>
    <definedName name="쿠팡_범위">OFFSET(쿠팡!$G$1,,,COUNTA(쿠팡!$G:$G),10)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A4" i="1" s="1"/>
  <c r="A37" i="2"/>
  <c r="A36" i="2"/>
  <c r="A35" i="2"/>
  <c r="A34" i="2"/>
  <c r="A33" i="2"/>
  <c r="A32" i="2"/>
  <c r="A31" i="2"/>
  <c r="A30" i="2"/>
  <c r="A29" i="2"/>
  <c r="A34" i="1"/>
  <c r="A33" i="1"/>
  <c r="A27" i="1"/>
  <c r="A28" i="1"/>
  <c r="A29" i="1"/>
  <c r="A30" i="1"/>
  <c r="A31" i="1"/>
  <c r="A32" i="1"/>
  <c r="A26" i="1"/>
  <c r="E3" i="1"/>
  <c r="E4" i="1" s="1"/>
</calcChain>
</file>

<file path=xl/sharedStrings.xml><?xml version="1.0" encoding="utf-8"?>
<sst xmlns="http://schemas.openxmlformats.org/spreadsheetml/2006/main" count="71" uniqueCount="50">
  <si>
    <t>주문일</t>
    <phoneticPr fontId="1" type="noConversion"/>
  </si>
  <si>
    <t>주문ID</t>
    <phoneticPr fontId="1" type="noConversion"/>
  </si>
  <si>
    <t>상품ID</t>
    <phoneticPr fontId="1" type="noConversion"/>
  </si>
  <si>
    <t>상품명</t>
    <phoneticPr fontId="1" type="noConversion"/>
  </si>
  <si>
    <t>가격</t>
    <phoneticPr fontId="1" type="noConversion"/>
  </si>
  <si>
    <t>배송현황</t>
    <phoneticPr fontId="1" type="noConversion"/>
  </si>
  <si>
    <t>세션 쿠키</t>
    <phoneticPr fontId="1" type="noConversion"/>
  </si>
  <si>
    <t>~</t>
    <phoneticPr fontId="1" type="noConversion"/>
  </si>
  <si>
    <t>조회 기간</t>
    <phoneticPr fontId="1" type="noConversion"/>
  </si>
  <si>
    <t>카테고리</t>
    <phoneticPr fontId="1" type="noConversion"/>
  </si>
  <si>
    <t>사업자명</t>
    <phoneticPr fontId="1" type="noConversion"/>
  </si>
  <si>
    <t>사업자코드</t>
    <phoneticPr fontId="1" type="noConversion"/>
  </si>
  <si>
    <t>네이버사업자ID</t>
    <phoneticPr fontId="1" type="noConversion"/>
  </si>
  <si>
    <t>검색 안내</t>
    <phoneticPr fontId="1" type="noConversion"/>
  </si>
  <si>
    <t>#</t>
    <phoneticPr fontId="1" type="noConversion"/>
  </si>
  <si>
    <t>#</t>
    <phoneticPr fontId="1" type="noConversion"/>
  </si>
  <si>
    <r>
      <t xml:space="preserve">네이버 페이는 검색 최대 기간인
</t>
    </r>
    <r>
      <rPr>
        <b/>
        <i/>
        <u/>
        <sz val="10"/>
        <rFont val="맑은 고딕"/>
        <family val="3"/>
        <charset val="129"/>
        <scheme val="minor"/>
      </rPr>
      <t>5년 동안의 모든 거래 내역</t>
    </r>
    <r>
      <rPr>
        <sz val="10"/>
        <rFont val="맑은 고딕"/>
        <family val="3"/>
        <charset val="129"/>
        <scheme val="minor"/>
      </rPr>
      <t>을
출력합니다.</t>
    </r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</si>
  <si>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</si>
  <si>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</si>
  <si>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</si>
  <si>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</si>
  <si>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</si>
  <si>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</si>
  <si>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</si>
  <si>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패션의류</t>
    <phoneticPr fontId="1" type="noConversion"/>
  </si>
  <si>
    <t>화장품/뷰티</t>
    <phoneticPr fontId="1" type="noConversion"/>
  </si>
  <si>
    <t>음식/건강식품</t>
    <phoneticPr fontId="1" type="noConversion"/>
  </si>
  <si>
    <t>주방/생활용품</t>
    <phoneticPr fontId="1" type="noConversion"/>
  </si>
  <si>
    <t>전자제품</t>
    <phoneticPr fontId="1" type="noConversion"/>
  </si>
  <si>
    <t>가구/인테리어</t>
    <phoneticPr fontId="1" type="noConversion"/>
  </si>
  <si>
    <t>도서/취미</t>
    <phoneticPr fontId="1" type="noConversion"/>
  </si>
  <si>
    <t>#요청사항</t>
    <phoneticPr fontId="1" type="noConversion"/>
  </si>
  <si>
    <t>- 위 거래내역을 다음의 카테고리로 분류해.</t>
    <phoneticPr fontId="1" type="noConversion"/>
  </si>
  <si>
    <t>- 코드인터프리터를 사용하지 않고, 직접 수기로 분류할 것.</t>
    <phoneticPr fontId="1" type="noConversion"/>
  </si>
  <si>
    <t>- 답변은 "| ID | 코드 | " 로 구성된 테이블 형식으로 작성할 것.</t>
    <phoneticPr fontId="1" type="noConversion"/>
  </si>
  <si>
    <t xml:space="preserve"> - 카테고리 (코드 : 카테고리명)</t>
    <phoneticPr fontId="1" type="noConversion"/>
  </si>
  <si>
    <t>코드</t>
    <phoneticPr fontId="1" type="noConversion"/>
  </si>
  <si>
    <t>카테고리명</t>
    <phoneticPr fontId="1" type="noConversion"/>
  </si>
  <si>
    <t>금액</t>
    <phoneticPr fontId="1" type="noConversion"/>
  </si>
  <si>
    <t>https://new-m.pay.naver.com/</t>
    <phoneticPr fontId="1" type="noConversion"/>
  </si>
  <si>
    <t>↑ 네이버 페이 바로가기</t>
    <phoneticPr fontId="1" type="noConversion"/>
  </si>
  <si>
    <t>https://mc.coupang.com/ssr/desktop/order/list</t>
    <phoneticPr fontId="1" type="noConversion"/>
  </si>
  <si>
    <t>↑ 쿠팡 주문내역 바로가기</t>
    <phoneticPr fontId="1" type="noConversion"/>
  </si>
  <si>
    <t>배달/외식</t>
    <phoneticPr fontId="1" type="noConversion"/>
  </si>
  <si>
    <t>간식/음료/편의점</t>
    <phoneticPr fontId="1" type="noConversion"/>
  </si>
  <si>
    <t>생활용품</t>
    <phoneticPr fontId="1" type="noConversion"/>
  </si>
  <si>
    <t>의류/잡화/미용</t>
    <phoneticPr fontId="1" type="noConversion"/>
  </si>
  <si>
    <t>자기계발</t>
    <phoneticPr fontId="1" type="noConversion"/>
  </si>
  <si>
    <t>문하/여가</t>
    <phoneticPr fontId="1" type="noConversion"/>
  </si>
  <si>
    <t>전자/가전제품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</si>
</sst>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000000000"/>
    <numFmt numFmtId="177" formatCode="yyyy/mm/dd\ hh:mm:ss"/>
    <numFmt numFmtId="178" formatCode=";;;&quot;******************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rgb="FF3333FF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i/>
      <u/>
      <sz val="1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b/>
      <u/>
      <sz val="11"/>
      <color rgb="FF3366FF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9"/>
      <color rgb="FF3366FF"/>
      <name val="맑은 고딕"/>
      <family val="3"/>
      <charset val="129"/>
      <scheme val="minor"/>
    </font>
    <font>
      <sz val="7"/>
      <color rgb="FF1F1F1F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009E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FFF5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Dashed">
        <color rgb="FFFF0000"/>
      </left>
      <right/>
      <top style="mediumDashed">
        <color rgb="FFFF0000"/>
      </top>
      <bottom style="mediumDashed">
        <color rgb="FFFF0000"/>
      </bottom>
      <diagonal/>
    </border>
    <border>
      <left/>
      <right/>
      <top style="mediumDashed">
        <color rgb="FFFF0000"/>
      </top>
      <bottom style="mediumDashed">
        <color rgb="FFFF0000"/>
      </bottom>
      <diagonal/>
    </border>
    <border>
      <left/>
      <right style="mediumDashed">
        <color rgb="FFFF0000"/>
      </right>
      <top style="mediumDashed">
        <color rgb="FFFF0000"/>
      </top>
      <bottom style="mediumDashed">
        <color rgb="FFFF0000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3" fontId="0" fillId="0" borderId="0" xfId="0" applyNumberFormat="1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77" fontId="2" fillId="2" borderId="0" xfId="0" applyNumberFormat="1" applyFont="1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center" vertical="center"/>
    </xf>
    <xf numFmtId="178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 shrinkToFit="1"/>
    </xf>
    <xf numFmtId="1" fontId="2" fillId="2" borderId="0" xfId="0" applyNumberFormat="1" applyFont="1" applyFill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0" borderId="0" xfId="0" applyAlignment="1">
      <alignment vertical="center" shrinkToFit="1"/>
    </xf>
    <xf numFmtId="177" fontId="2" fillId="3" borderId="0" xfId="0" applyNumberFormat="1" applyFont="1" applyFill="1" applyAlignment="1">
      <alignment horizontal="center" vertical="center"/>
    </xf>
    <xf numFmtId="1" fontId="2" fillId="3" borderId="0" xfId="0" applyNumberFormat="1" applyFont="1" applyFill="1" applyAlignment="1">
      <alignment horizontal="center" vertical="center"/>
    </xf>
    <xf numFmtId="176" fontId="2" fillId="3" borderId="0" xfId="0" applyNumberFormat="1" applyFont="1" applyFill="1" applyAlignment="1">
      <alignment horizontal="center" vertical="center" shrinkToFit="1"/>
    </xf>
    <xf numFmtId="0" fontId="2" fillId="3" borderId="0" xfId="0" applyFont="1" applyFill="1" applyAlignment="1">
      <alignment horizontal="center" vertical="center"/>
    </xf>
    <xf numFmtId="3" fontId="2" fillId="3" borderId="0" xfId="0" applyNumberFormat="1" applyFont="1" applyFill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>
      <alignment vertical="center"/>
    </xf>
    <xf numFmtId="0" fontId="9" fillId="0" borderId="0" xfId="0" applyFont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" fontId="3" fillId="5" borderId="16" xfId="0" applyNumberFormat="1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13" fillId="0" borderId="0" xfId="0" applyFont="1">
      <alignment vertical="center"/>
    </xf>
    <xf numFmtId="177" fontId="2" fillId="2" borderId="14" xfId="0" applyNumberFormat="1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178" fontId="3" fillId="5" borderId="17" xfId="0" applyNumberFormat="1" applyFont="1" applyFill="1" applyBorder="1" applyAlignment="1">
      <alignment horizontal="center" vertical="center" wrapText="1"/>
    </xf>
    <xf numFmtId="178" fontId="3" fillId="5" borderId="18" xfId="0" applyNumberFormat="1" applyFont="1" applyFill="1" applyBorder="1" applyAlignment="1">
      <alignment horizontal="center" vertical="center" wrapText="1"/>
    </xf>
    <xf numFmtId="178" fontId="3" fillId="5" borderId="19" xfId="0" applyNumberFormat="1" applyFont="1" applyFill="1" applyBorder="1" applyAlignment="1">
      <alignment horizontal="center" vertical="center" wrapText="1"/>
    </xf>
    <xf numFmtId="177" fontId="2" fillId="2" borderId="2" xfId="0" applyNumberFormat="1" applyFont="1" applyFill="1" applyBorder="1" applyAlignment="1">
      <alignment horizontal="center" vertical="center"/>
    </xf>
    <xf numFmtId="177" fontId="2" fillId="2" borderId="3" xfId="0" applyNumberFormat="1" applyFont="1" applyFill="1" applyBorder="1" applyAlignment="1">
      <alignment horizontal="center" vertical="center"/>
    </xf>
    <xf numFmtId="177" fontId="2" fillId="2" borderId="4" xfId="0" applyNumberFormat="1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12" fillId="0" borderId="0" xfId="1" applyNumberFormat="1" applyFont="1" applyBorder="1" applyAlignment="1">
      <alignment horizontal="center" vertical="center"/>
    </xf>
    <xf numFmtId="177" fontId="12" fillId="0" borderId="3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3" fillId="0" borderId="1" xfId="0" applyNumberFormat="1" applyFont="1" applyBorder="1" applyAlignment="1">
      <alignment horizontal="left" vertical="center"/>
    </xf>
    <xf numFmtId="1" fontId="2" fillId="2" borderId="1" xfId="0" applyNumberFormat="1" applyFont="1" applyFill="1" applyBorder="1" applyAlignment="1">
      <alignment horizontal="center" vertical="center"/>
    </xf>
    <xf numFmtId="177" fontId="7" fillId="4" borderId="5" xfId="0" applyNumberFormat="1" applyFont="1" applyFill="1" applyBorder="1" applyAlignment="1">
      <alignment horizontal="left" vertical="center" shrinkToFit="1"/>
    </xf>
    <xf numFmtId="177" fontId="7" fillId="4" borderId="0" xfId="0" applyNumberFormat="1" applyFont="1" applyFill="1" applyAlignment="1">
      <alignment horizontal="left" vertical="center" shrinkToFit="1"/>
    </xf>
    <xf numFmtId="177" fontId="7" fillId="4" borderId="6" xfId="0" applyNumberFormat="1" applyFont="1" applyFill="1" applyBorder="1" applyAlignment="1">
      <alignment horizontal="left" vertical="center" shrinkToFit="1"/>
    </xf>
    <xf numFmtId="177" fontId="7" fillId="4" borderId="7" xfId="0" applyNumberFormat="1" applyFont="1" applyFill="1" applyBorder="1" applyAlignment="1">
      <alignment horizontal="left" vertical="center" shrinkToFit="1"/>
    </xf>
    <xf numFmtId="177" fontId="7" fillId="4" borderId="8" xfId="0" applyNumberFormat="1" applyFont="1" applyFill="1" applyBorder="1" applyAlignment="1">
      <alignment horizontal="left" vertical="center" shrinkToFit="1"/>
    </xf>
    <xf numFmtId="177" fontId="7" fillId="4" borderId="9" xfId="0" applyNumberFormat="1" applyFont="1" applyFill="1" applyBorder="1" applyAlignment="1">
      <alignment horizontal="left" vertical="center" shrinkToFit="1"/>
    </xf>
    <xf numFmtId="177" fontId="8" fillId="4" borderId="2" xfId="0" applyNumberFormat="1" applyFont="1" applyFill="1" applyBorder="1" applyAlignment="1">
      <alignment horizontal="left" vertical="center" shrinkToFit="1"/>
    </xf>
    <xf numFmtId="177" fontId="8" fillId="4" borderId="3" xfId="0" applyNumberFormat="1" applyFont="1" applyFill="1" applyBorder="1" applyAlignment="1">
      <alignment horizontal="left" vertical="center" shrinkToFit="1"/>
    </xf>
    <xf numFmtId="177" fontId="8" fillId="4" borderId="4" xfId="0" applyNumberFormat="1" applyFont="1" applyFill="1" applyBorder="1" applyAlignment="1">
      <alignment horizontal="left" vertical="center" shrinkToFit="1"/>
    </xf>
    <xf numFmtId="177" fontId="7" fillId="4" borderId="5" xfId="0" quotePrefix="1" applyNumberFormat="1" applyFont="1" applyFill="1" applyBorder="1" applyAlignment="1">
      <alignment horizontal="left" vertical="center" shrinkToFit="1"/>
    </xf>
    <xf numFmtId="178" fontId="3" fillId="5" borderId="11" xfId="0" applyNumberFormat="1" applyFont="1" applyFill="1" applyBorder="1" applyAlignment="1">
      <alignment horizontal="center" vertical="center" wrapText="1"/>
    </xf>
    <xf numFmtId="178" fontId="3" fillId="5" borderId="12" xfId="0" applyNumberFormat="1" applyFont="1" applyFill="1" applyBorder="1" applyAlignment="1">
      <alignment horizontal="center" vertical="center" wrapText="1"/>
    </xf>
    <xf numFmtId="178" fontId="3" fillId="5" borderId="13" xfId="0" applyNumberFormat="1" applyFont="1" applyFill="1" applyBorder="1" applyAlignment="1">
      <alignment horizontal="center" vertical="center" wrapText="1"/>
    </xf>
    <xf numFmtId="177" fontId="2" fillId="3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0" fillId="0" borderId="0" xfId="1" applyFont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6600CC"/>
      <color rgb="FF3366FF"/>
      <color rgb="FF009E47"/>
      <color rgb="FF3333FF"/>
      <color rgb="FFD9FF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64061</xdr:colOff>
      <xdr:row>6</xdr:row>
      <xdr:rowOff>60960</xdr:rowOff>
    </xdr:from>
    <xdr:to>
      <xdr:col>3</xdr:col>
      <xdr:colOff>5444</xdr:colOff>
      <xdr:row>8</xdr:row>
      <xdr:rowOff>100148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CC999136-B333-F8F4-6B0B-492B007BAD51}"/>
            </a:ext>
          </a:extLst>
        </xdr:cNvPr>
        <xdr:cNvGrpSpPr/>
      </xdr:nvGrpSpPr>
      <xdr:grpSpPr>
        <a:xfrm>
          <a:off x="64061" y="1459454"/>
          <a:ext cx="2944559" cy="505353"/>
          <a:chOff x="64061" y="1125281"/>
          <a:chExt cx="2948851" cy="478277"/>
        </a:xfrm>
      </xdr:grpSpPr>
      <xdr:sp macro="[0]!GetCoupangHistory" textlink="">
        <xdr:nvSpPr>
          <xdr:cNvPr id="2" name="사각형: 둥근 모서리 1">
            <a:extLst>
              <a:ext uri="{FF2B5EF4-FFF2-40B4-BE49-F238E27FC236}">
                <a16:creationId xmlns:a16="http://schemas.microsoft.com/office/drawing/2014/main" id="{9AFCBB8F-8DA6-5243-D5E4-11CD09596C2D}"/>
              </a:ext>
            </a:extLst>
          </xdr:cNvPr>
          <xdr:cNvSpPr/>
        </xdr:nvSpPr>
        <xdr:spPr>
          <a:xfrm>
            <a:off x="64061" y="1125281"/>
            <a:ext cx="2948851" cy="478277"/>
          </a:xfrm>
          <a:prstGeom prst="roundRect">
            <a:avLst/>
          </a:prstGeom>
          <a:solidFill>
            <a:schemeClr val="bg2"/>
          </a:solidFill>
          <a:ln>
            <a:noFill/>
          </a:ln>
          <a:scene3d>
            <a:camera prst="orthographicFront"/>
            <a:lightRig rig="threePt" dir="t"/>
          </a:scene3d>
          <a:sp3d>
            <a:bevelT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 kern="1200">
                <a:solidFill>
                  <a:sysClr val="windowText" lastClr="000000"/>
                </a:solidFill>
              </a:rPr>
              <a:t>쿠팡 구매내역 조회</a:t>
            </a:r>
          </a:p>
        </xdr:txBody>
      </xdr:sp>
      <xdr:pic macro="[0]!GetCoupangHistory">
        <xdr:nvPicPr>
          <xdr:cNvPr id="3" name="그림 2" descr="Coupang 酷澎—享受天天超低價 - Google Play 앱">
            <a:extLst>
              <a:ext uri="{FF2B5EF4-FFF2-40B4-BE49-F238E27FC236}">
                <a16:creationId xmlns:a16="http://schemas.microsoft.com/office/drawing/2014/main" id="{70CA1817-4A33-2718-59D3-D67D54AD728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37164" y="1153424"/>
            <a:ext cx="434271" cy="436341"/>
          </a:xfrm>
          <a:prstGeom prst="rect">
            <a:avLst/>
          </a:prstGeom>
          <a:noFill/>
          <a:effectLst>
            <a:outerShdw blurRad="63500" sx="102000" sy="102000" algn="ctr" rotWithShape="0">
              <a:prstClr val="black">
                <a:alpha val="11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108347</xdr:rowOff>
    </xdr:from>
    <xdr:to>
      <xdr:col>3</xdr:col>
      <xdr:colOff>0</xdr:colOff>
      <xdr:row>10</xdr:row>
      <xdr:rowOff>160020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2611616E-0F70-6EC1-36FD-EB618DCDA79C}"/>
            </a:ext>
          </a:extLst>
        </xdr:cNvPr>
        <xdr:cNvGrpSpPr/>
      </xdr:nvGrpSpPr>
      <xdr:grpSpPr>
        <a:xfrm>
          <a:off x="0" y="2016660"/>
          <a:ext cx="2723322" cy="528751"/>
          <a:chOff x="0" y="1613297"/>
          <a:chExt cx="2688648" cy="529828"/>
        </a:xfrm>
      </xdr:grpSpPr>
      <xdr:sp macro="[0]!GetNaverHistory" textlink="">
        <xdr:nvSpPr>
          <xdr:cNvPr id="2" name="사각형: 둥근 모서리 1">
            <a:extLst>
              <a:ext uri="{FF2B5EF4-FFF2-40B4-BE49-F238E27FC236}">
                <a16:creationId xmlns:a16="http://schemas.microsoft.com/office/drawing/2014/main" id="{55A9FB56-D91C-4414-B44E-A39936E32978}"/>
              </a:ext>
            </a:extLst>
          </xdr:cNvPr>
          <xdr:cNvSpPr/>
        </xdr:nvSpPr>
        <xdr:spPr>
          <a:xfrm>
            <a:off x="0" y="1613297"/>
            <a:ext cx="2688648" cy="529828"/>
          </a:xfrm>
          <a:prstGeom prst="round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 kern="1200">
                <a:solidFill>
                  <a:schemeClr val="bg1"/>
                </a:solidFill>
              </a:rPr>
              <a:t>          네이버 페이 지급내역 조회</a:t>
            </a:r>
          </a:p>
        </xdr:txBody>
      </xdr:sp>
      <xdr:pic macro="[0]!GetNaverHistory">
        <xdr:nvPicPr>
          <xdr:cNvPr id="3" name="그림 2" descr="네이버페이 - Apps on Google Play">
            <a:extLst>
              <a:ext uri="{FF2B5EF4-FFF2-40B4-BE49-F238E27FC236}">
                <a16:creationId xmlns:a16="http://schemas.microsoft.com/office/drawing/2014/main" id="{D0BAC799-2737-2212-8952-7FA1DED23F1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33254" y="1713959"/>
            <a:ext cx="342125" cy="3425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mc.coupang.com/ssr/desktop/order/list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new-m.pay.nav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56B4-A401-4118-886D-739BE57AACF0}">
  <sheetPr codeName="Sheet1"/>
  <dimension ref="A1:P34"/>
  <sheetViews>
    <sheetView showGridLines="0" tabSelected="1" zoomScale="85" zoomScaleNormal="85" workbookViewId="0">
      <selection sqref="A1:C1"/>
    </sheetView>
  </sheetViews>
  <sheetFormatPr defaultRowHeight="18.75" customHeight="1" x14ac:dyDescent="0.4"/>
  <cols>
    <col min="1" max="1" width="16.5" style="4" customWidth="1"/>
    <col min="2" max="2" width="6.5" style="3" customWidth="1"/>
    <col min="3" max="3" width="16.5" style="2" customWidth="1"/>
    <col min="4" max="4" width="1.59765625" customWidth="1"/>
    <col min="5" max="5" width="1.59765625" style="16" customWidth="1"/>
    <col min="6" max="6" width="1.59765625" customWidth="1"/>
    <col min="7" max="7" width="21.5" style="12" customWidth="1"/>
    <col min="8" max="9" width="16.8984375" style="8" customWidth="1"/>
    <col min="10" max="10" width="15.69921875" style="20" customWidth="1"/>
    <col min="11" max="11" width="15.8984375" style="6" customWidth="1"/>
    <col min="12" max="12" width="7.09765625" style="7" customWidth="1"/>
    <col min="13" max="13" width="63.09765625" style="22" customWidth="1"/>
    <col min="14" max="14" width="15.09765625" customWidth="1"/>
    <col min="15" max="15" width="12.8984375" style="1" customWidth="1"/>
    <col min="16" max="16" width="21.3984375" style="7" customWidth="1"/>
  </cols>
  <sheetData>
    <row r="1" spans="1:16" s="7" customFormat="1" ht="18.75" customHeight="1" x14ac:dyDescent="0.4">
      <c r="A1" s="42" t="s">
        <v>6</v>
      </c>
      <c r="B1" s="43"/>
      <c r="C1" s="44"/>
      <c r="D1" s="5"/>
      <c r="E1" s="15"/>
      <c r="F1" s="5"/>
      <c r="G1" s="9" t="s">
        <v>0</v>
      </c>
      <c r="H1" s="10" t="s">
        <v>1</v>
      </c>
      <c r="I1" s="10" t="s">
        <v>11</v>
      </c>
      <c r="J1" s="19" t="s">
        <v>10</v>
      </c>
      <c r="K1" s="11" t="s">
        <v>2</v>
      </c>
      <c r="L1" s="13" t="s">
        <v>15</v>
      </c>
      <c r="M1" s="21" t="s">
        <v>3</v>
      </c>
      <c r="N1" s="13" t="s">
        <v>9</v>
      </c>
      <c r="O1" s="14" t="s">
        <v>4</v>
      </c>
      <c r="P1" s="13" t="s">
        <v>5</v>
      </c>
    </row>
    <row r="2" spans="1:16" ht="18.75" customHeight="1" x14ac:dyDescent="0.4">
      <c r="A2" s="39"/>
      <c r="B2" s="40"/>
      <c r="C2" s="41"/>
    </row>
    <row r="3" spans="1:16" ht="18.75" customHeight="1" x14ac:dyDescent="0.4">
      <c r="A3" s="37" t="s">
        <v>8</v>
      </c>
      <c r="B3" s="38"/>
      <c r="C3" s="37"/>
      <c r="E3" s="31">
        <f ca="1">YEAR(TODAY())</f>
        <v>2025</v>
      </c>
    </row>
    <row r="4" spans="1:16" ht="18.75" customHeight="1" x14ac:dyDescent="0.4">
      <c r="A4" s="34">
        <f ca="1">C4-1</f>
        <v>2024</v>
      </c>
      <c r="B4" s="33" t="s">
        <v>7</v>
      </c>
      <c r="C4" s="35">
        <f ca="1">YEAR(TODAY())</f>
        <v>2025</v>
      </c>
      <c r="E4" s="31">
        <f ca="1">E3-5</f>
        <v>2020</v>
      </c>
    </row>
    <row r="5" spans="1:16" ht="18.75" customHeight="1" x14ac:dyDescent="0.4">
      <c r="A5" s="46" t="s">
        <v>41</v>
      </c>
      <c r="B5" s="47"/>
      <c r="C5" s="46"/>
    </row>
    <row r="6" spans="1:16" ht="18.75" customHeight="1" x14ac:dyDescent="0.4">
      <c r="A6" s="48" t="s">
        <v>42</v>
      </c>
      <c r="B6" s="48"/>
      <c r="C6" s="48"/>
    </row>
    <row r="10" spans="1:16" ht="18.75" customHeight="1" x14ac:dyDescent="0.4">
      <c r="A10" s="28" t="s">
        <v>36</v>
      </c>
      <c r="B10" s="50" t="s">
        <v>37</v>
      </c>
      <c r="C10" s="50"/>
    </row>
    <row r="11" spans="1:16" ht="18.75" customHeight="1" x14ac:dyDescent="0.4">
      <c r="A11" s="29" t="s">
        <v>17</v>
      </c>
      <c r="B11" s="45" t="s">
        <v>24</v>
      </c>
      <c r="C11" s="45"/>
    </row>
    <row r="12" spans="1:16" ht="18.75" customHeight="1" x14ac:dyDescent="0.4">
      <c r="A12" s="29" t="s">
        <v>18</v>
      </c>
      <c r="B12" s="45" t="s">
        <v>25</v>
      </c>
      <c r="C12" s="45"/>
    </row>
    <row r="13" spans="1:16" ht="18.75" customHeight="1" x14ac:dyDescent="0.4">
      <c r="A13" s="29" t="s">
        <v>19</v>
      </c>
      <c r="B13" s="45" t="s">
        <v>26</v>
      </c>
      <c r="C13" s="45"/>
    </row>
    <row r="14" spans="1:16" ht="18.75" customHeight="1" x14ac:dyDescent="0.4">
      <c r="A14" s="29" t="s">
        <v>20</v>
      </c>
      <c r="B14" s="45" t="s">
        <v>27</v>
      </c>
      <c r="C14" s="45"/>
    </row>
    <row r="15" spans="1:16" ht="18.75" customHeight="1" x14ac:dyDescent="0.4">
      <c r="A15" s="29" t="s">
        <v>21</v>
      </c>
      <c r="B15" s="45" t="s">
        <v>28</v>
      </c>
      <c r="C15" s="45"/>
    </row>
    <row r="16" spans="1:16" ht="18.75" customHeight="1" x14ac:dyDescent="0.4">
      <c r="A16" s="29" t="s">
        <v>22</v>
      </c>
      <c r="B16" s="45" t="s">
        <v>29</v>
      </c>
      <c r="C16" s="45"/>
    </row>
    <row r="17" spans="1:3" ht="18.75" customHeight="1" x14ac:dyDescent="0.4">
      <c r="A17" s="29" t="s">
        <v>23</v>
      </c>
      <c r="B17" s="45" t="s">
        <v>30</v>
      </c>
      <c r="C17" s="45"/>
    </row>
    <row r="18" spans="1:3" ht="18.75" customHeight="1" x14ac:dyDescent="0.4">
      <c r="A18" s="30"/>
      <c r="B18" s="49"/>
      <c r="C18" s="49"/>
    </row>
    <row r="19" spans="1:3" ht="18.75" customHeight="1" x14ac:dyDescent="0.4">
      <c r="A19" s="30"/>
      <c r="B19" s="49"/>
      <c r="C19" s="49"/>
    </row>
    <row r="20" spans="1:3" ht="18.75" customHeight="1" x14ac:dyDescent="0.4">
      <c r="C20"/>
    </row>
    <row r="21" spans="1:3" ht="18.75" customHeight="1" x14ac:dyDescent="0.4">
      <c r="A21" s="57" t="s">
        <v>31</v>
      </c>
      <c r="B21" s="58"/>
      <c r="C21" s="59"/>
    </row>
    <row r="22" spans="1:3" ht="18.75" customHeight="1" x14ac:dyDescent="0.4">
      <c r="A22" s="60" t="s">
        <v>32</v>
      </c>
      <c r="B22" s="52"/>
      <c r="C22" s="53"/>
    </row>
    <row r="23" spans="1:3" ht="18.75" customHeight="1" x14ac:dyDescent="0.4">
      <c r="A23" s="60" t="s">
        <v>33</v>
      </c>
      <c r="B23" s="52"/>
      <c r="C23" s="53"/>
    </row>
    <row r="24" spans="1:3" ht="18.75" customHeight="1" x14ac:dyDescent="0.4">
      <c r="A24" s="60" t="s">
        <v>34</v>
      </c>
      <c r="B24" s="52"/>
      <c r="C24" s="53"/>
    </row>
    <row r="25" spans="1:3" ht="18.75" customHeight="1" x14ac:dyDescent="0.4">
      <c r="A25" s="60" t="s">
        <v>35</v>
      </c>
      <c r="B25" s="52"/>
      <c r="C25" s="53"/>
    </row>
    <row r="26" spans="1:3" ht="18.75" customHeight="1" x14ac:dyDescent="0.4">
      <c r="A26" s="51" t="str">
        <f t="shared" ref="A26:A32" si="0">IF(A11&lt;&gt;"",A11&amp;" : "&amp;B11,"")</f>
        <v>A : 패션의류</v>
      </c>
      <c r="B26" s="52"/>
      <c r="C26" s="53"/>
    </row>
    <row r="27" spans="1:3" ht="18.75" customHeight="1" x14ac:dyDescent="0.4">
      <c r="A27" s="51" t="str">
        <f t="shared" si="0"/>
        <v>B : 화장품/뷰티</v>
      </c>
      <c r="B27" s="52"/>
      <c r="C27" s="53"/>
    </row>
    <row r="28" spans="1:3" ht="18.75" customHeight="1" x14ac:dyDescent="0.4">
      <c r="A28" s="51" t="str">
        <f t="shared" si="0"/>
        <v>C : 음식/건강식품</v>
      </c>
      <c r="B28" s="52"/>
      <c r="C28" s="53"/>
    </row>
    <row r="29" spans="1:3" ht="18.75" customHeight="1" x14ac:dyDescent="0.4">
      <c r="A29" s="51" t="str">
        <f t="shared" si="0"/>
        <v>D : 주방/생활용품</v>
      </c>
      <c r="B29" s="52"/>
      <c r="C29" s="53"/>
    </row>
    <row r="30" spans="1:3" ht="18.75" customHeight="1" x14ac:dyDescent="0.4">
      <c r="A30" s="51" t="str">
        <f t="shared" si="0"/>
        <v>E : 전자제품</v>
      </c>
      <c r="B30" s="52"/>
      <c r="C30" s="53"/>
    </row>
    <row r="31" spans="1:3" ht="18.75" customHeight="1" x14ac:dyDescent="0.4">
      <c r="A31" s="51" t="str">
        <f t="shared" si="0"/>
        <v>F : 가구/인테리어</v>
      </c>
      <c r="B31" s="52"/>
      <c r="C31" s="53"/>
    </row>
    <row r="32" spans="1:3" ht="18.75" customHeight="1" x14ac:dyDescent="0.4">
      <c r="A32" s="51" t="str">
        <f t="shared" si="0"/>
        <v>G : 도서/취미</v>
      </c>
      <c r="B32" s="52"/>
      <c r="C32" s="53"/>
    </row>
    <row r="33" spans="1:3" ht="18.75" customHeight="1" x14ac:dyDescent="0.4">
      <c r="A33" s="51" t="str">
        <f t="shared" ref="A33:A34" si="1">IF(A18&lt;&gt;"",A18&amp;" : "&amp;B18,"")</f>
        <v/>
      </c>
      <c r="B33" s="52"/>
      <c r="C33" s="53"/>
    </row>
    <row r="34" spans="1:3" ht="18.75" customHeight="1" x14ac:dyDescent="0.4">
      <c r="A34" s="54" t="str">
        <f t="shared" si="1"/>
        <v/>
      </c>
      <c r="B34" s="55"/>
      <c r="C34" s="56"/>
    </row>
  </sheetData>
  <autoFilter ref="G1:P1" xr:uid="{EC2956B4-A401-4118-886D-739BE57AACF0}"/>
  <mergeCells count="29">
    <mergeCell ref="A21:C21"/>
    <mergeCell ref="A22:C22"/>
    <mergeCell ref="A23:C23"/>
    <mergeCell ref="A24:C24"/>
    <mergeCell ref="A25:C25"/>
    <mergeCell ref="A31:C31"/>
    <mergeCell ref="A32:C32"/>
    <mergeCell ref="A33:C33"/>
    <mergeCell ref="A34:C34"/>
    <mergeCell ref="A26:C26"/>
    <mergeCell ref="A27:C27"/>
    <mergeCell ref="A28:C28"/>
    <mergeCell ref="A29:C29"/>
    <mergeCell ref="A30:C30"/>
    <mergeCell ref="B18:C18"/>
    <mergeCell ref="B19:C19"/>
    <mergeCell ref="B10:C10"/>
    <mergeCell ref="B11:C11"/>
    <mergeCell ref="B12:C12"/>
    <mergeCell ref="B13:C13"/>
    <mergeCell ref="B14:C14"/>
    <mergeCell ref="B16:C16"/>
    <mergeCell ref="A3:C3"/>
    <mergeCell ref="A2:C2"/>
    <mergeCell ref="A1:C1"/>
    <mergeCell ref="B15:C15"/>
    <mergeCell ref="B17:C17"/>
    <mergeCell ref="A5:C5"/>
    <mergeCell ref="A6:C6"/>
  </mergeCells>
  <phoneticPr fontId="1" type="noConversion"/>
  <conditionalFormatting sqref="G1:P1048576">
    <cfRule type="expression" dxfId="2" priority="2">
      <formula>AND(ISODD(ROW()),$G1&lt;&gt;"",ROW()&gt;1)</formula>
    </cfRule>
  </conditionalFormatting>
  <conditionalFormatting sqref="O1:O104857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{5E80825B-147B-4B8D-95CD-BB828F995529}</x14:id>
        </ext>
      </extLst>
    </cfRule>
  </conditionalFormatting>
  <dataValidations count="2">
    <dataValidation type="custom" allowBlank="1" showInputMessage="1" showErrorMessage="1" errorTitle="년도 입력 오류" error="올해 기준 5년 이내의 데이터만 조회 가능하고, 1년보다 큰 기간을 입력해야 합니다." sqref="A4" xr:uid="{7D6ADAAE-1738-4B92-A3BE-6D5EF1184F57}">
      <formula1>AND($A$4&lt;=$E$3,$A$4&gt;=$E$4,$C$4&gt;$A$4)</formula1>
    </dataValidation>
    <dataValidation type="custom" allowBlank="1" showInputMessage="1" showErrorMessage="1" errorTitle="년도 입력 오류" error="올해 기준 5년 이내의 데이터만 조회 가능하고, 1년보다 큰 기간을 입력해야 합니다." sqref="C4" xr:uid="{1899AD8D-E917-47E8-95D4-9B2D637BCAC8}">
      <formula1>AND($C$4&lt;=$E$3,$C$4&gt;=$E$4,$C$4&gt;$A$4)</formula1>
    </dataValidation>
  </dataValidations>
  <hyperlinks>
    <hyperlink ref="A5:C5" r:id="rId1" display="https://mc.coupang.com/ssr/desktop/order/list" xr:uid="{1CBADE85-4F1F-4E9A-8E69-D8E8E55E787B}"/>
  </hyperlinks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E80825B-147B-4B8D-95CD-BB828F9955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CB6E6-B311-45EA-A2F1-DB22F3D0443E}">
  <sheetPr codeName="Sheet2"/>
  <dimension ref="A1:O37"/>
  <sheetViews>
    <sheetView zoomScale="115" zoomScaleNormal="115" workbookViewId="0">
      <selection sqref="A1:C1"/>
    </sheetView>
  </sheetViews>
  <sheetFormatPr defaultRowHeight="18.75" customHeight="1" x14ac:dyDescent="0.4"/>
  <cols>
    <col min="1" max="3" width="11.8984375" customWidth="1"/>
    <col min="4" max="6" width="1.19921875" customWidth="1"/>
    <col min="7" max="7" width="21.09765625" style="12" customWidth="1"/>
    <col min="8" max="8" width="24.8984375" style="7" bestFit="1" customWidth="1"/>
    <col min="9" max="9" width="15.09765625" style="7" bestFit="1" customWidth="1"/>
    <col min="10" max="10" width="25.09765625" style="7" customWidth="1"/>
    <col min="11" max="11" width="6.69921875" style="7" customWidth="1"/>
    <col min="12" max="12" width="56.19921875" style="18" customWidth="1"/>
    <col min="13" max="13" width="13.8984375" customWidth="1"/>
    <col min="14" max="14" width="14.5" style="17" customWidth="1"/>
    <col min="15" max="15" width="19.59765625" style="7" customWidth="1"/>
  </cols>
  <sheetData>
    <row r="1" spans="1:15" s="7" customFormat="1" ht="18.75" customHeight="1" thickBot="1" x14ac:dyDescent="0.45">
      <c r="A1" s="64" t="s">
        <v>6</v>
      </c>
      <c r="B1" s="64"/>
      <c r="C1" s="64"/>
      <c r="D1"/>
      <c r="G1" s="23" t="s">
        <v>0</v>
      </c>
      <c r="H1" s="24" t="s">
        <v>1</v>
      </c>
      <c r="I1" s="24" t="s">
        <v>12</v>
      </c>
      <c r="J1" s="24" t="s">
        <v>10</v>
      </c>
      <c r="K1" s="24" t="s">
        <v>14</v>
      </c>
      <c r="L1" s="25" t="s">
        <v>3</v>
      </c>
      <c r="M1" s="26" t="s">
        <v>9</v>
      </c>
      <c r="N1" s="26" t="s">
        <v>38</v>
      </c>
      <c r="O1" s="27" t="s">
        <v>5</v>
      </c>
    </row>
    <row r="2" spans="1:15" ht="18.75" customHeight="1" thickBot="1" x14ac:dyDescent="0.45">
      <c r="A2" s="61"/>
      <c r="B2" s="62"/>
      <c r="C2" s="63"/>
      <c r="M2" s="7"/>
    </row>
    <row r="3" spans="1:15" ht="18.75" customHeight="1" x14ac:dyDescent="0.4">
      <c r="A3" s="64" t="s">
        <v>13</v>
      </c>
      <c r="B3" s="64"/>
      <c r="C3" s="64"/>
      <c r="E3" s="16"/>
      <c r="F3" s="16"/>
      <c r="M3" s="7"/>
    </row>
    <row r="4" spans="1:15" ht="18.75" customHeight="1" x14ac:dyDescent="0.4">
      <c r="A4" s="65" t="s">
        <v>16</v>
      </c>
      <c r="B4" s="65"/>
      <c r="C4" s="65"/>
      <c r="E4" s="16"/>
      <c r="F4" s="16"/>
      <c r="M4" s="7"/>
    </row>
    <row r="5" spans="1:15" ht="18.75" customHeight="1" x14ac:dyDescent="0.4">
      <c r="A5" s="65"/>
      <c r="B5" s="65"/>
      <c r="C5" s="65"/>
      <c r="M5" s="7"/>
    </row>
    <row r="6" spans="1:15" ht="18.75" customHeight="1" x14ac:dyDescent="0.4">
      <c r="A6" s="65"/>
      <c r="B6" s="65"/>
      <c r="C6" s="65"/>
      <c r="M6" s="7"/>
    </row>
    <row r="7" spans="1:15" ht="18.75" customHeight="1" x14ac:dyDescent="0.4">
      <c r="A7" s="66" t="s">
        <v>39</v>
      </c>
      <c r="B7" s="66"/>
      <c r="C7" s="66"/>
      <c r="M7" s="7"/>
    </row>
    <row r="8" spans="1:15" ht="18.75" customHeight="1" x14ac:dyDescent="0.4">
      <c r="A8" s="48" t="s">
        <v>40</v>
      </c>
      <c r="B8" s="48"/>
      <c r="C8" s="48"/>
      <c r="M8" s="7"/>
    </row>
    <row r="9" spans="1:15" ht="18.75" customHeight="1" x14ac:dyDescent="0.4">
      <c r="M9" s="7"/>
    </row>
    <row r="10" spans="1:15" ht="18.75" customHeight="1" x14ac:dyDescent="0.4">
      <c r="M10" s="7"/>
    </row>
    <row r="11" spans="1:15" ht="18.75" customHeight="1" x14ac:dyDescent="0.4">
      <c r="M11" s="7"/>
    </row>
    <row r="12" spans="1:15" ht="18.75" customHeight="1" x14ac:dyDescent="0.4">
      <c r="B12" s="36"/>
      <c r="M12" s="7"/>
    </row>
    <row r="13" spans="1:15" ht="18.75" customHeight="1" x14ac:dyDescent="0.4">
      <c r="A13" s="32" t="s">
        <v>36</v>
      </c>
      <c r="B13" s="67" t="s">
        <v>37</v>
      </c>
      <c r="C13" s="67"/>
      <c r="M13" s="7"/>
    </row>
    <row r="14" spans="1:15" ht="18.75" customHeight="1" x14ac:dyDescent="0.4">
      <c r="A14" s="29" t="s">
        <v>17</v>
      </c>
      <c r="B14" s="45" t="s">
        <v>43</v>
      </c>
      <c r="C14" s="45"/>
      <c r="M14" s="7"/>
    </row>
    <row r="15" spans="1:15" ht="18.75" customHeight="1" x14ac:dyDescent="0.4">
      <c r="A15" s="29" t="s">
        <v>18</v>
      </c>
      <c r="B15" s="45" t="s">
        <v>44</v>
      </c>
      <c r="C15" s="45"/>
      <c r="M15" s="7"/>
    </row>
    <row r="16" spans="1:15" ht="18.75" customHeight="1" x14ac:dyDescent="0.4">
      <c r="A16" s="29" t="s">
        <v>19</v>
      </c>
      <c r="B16" s="45" t="s">
        <v>45</v>
      </c>
      <c r="C16" s="45"/>
      <c r="M16" s="7"/>
    </row>
    <row r="17" spans="1:3" ht="18.75" customHeight="1" x14ac:dyDescent="0.4">
      <c r="A17" s="29" t="s">
        <v>20</v>
      </c>
      <c r="B17" s="45" t="s">
        <v>46</v>
      </c>
      <c r="C17" s="45"/>
    </row>
    <row r="18" spans="1:3" ht="18.75" customHeight="1" x14ac:dyDescent="0.4">
      <c r="A18" s="29" t="s">
        <v>21</v>
      </c>
      <c r="B18" s="45" t="s">
        <v>47</v>
      </c>
      <c r="C18" s="45"/>
    </row>
    <row r="19" spans="1:3" ht="18.75" customHeight="1" x14ac:dyDescent="0.4">
      <c r="A19" s="29" t="s">
        <v>22</v>
      </c>
      <c r="B19" s="45" t="s">
        <v>48</v>
      </c>
      <c r="C19" s="45"/>
    </row>
    <row r="20" spans="1:3" ht="18.75" customHeight="1" x14ac:dyDescent="0.4">
      <c r="A20" s="29" t="s">
        <v>23</v>
      </c>
      <c r="B20" s="45" t="s">
        <v>49</v>
      </c>
      <c r="C20" s="45"/>
    </row>
    <row r="21" spans="1:3" ht="18.75" customHeight="1" x14ac:dyDescent="0.4">
      <c r="A21" s="30"/>
      <c r="B21" s="49"/>
      <c r="C21" s="49"/>
    </row>
    <row r="22" spans="1:3" ht="18.75" customHeight="1" x14ac:dyDescent="0.4">
      <c r="A22" s="30"/>
      <c r="B22" s="49"/>
      <c r="C22" s="49"/>
    </row>
    <row r="23" spans="1:3" ht="18.75" customHeight="1" x14ac:dyDescent="0.4">
      <c r="A23" s="4"/>
      <c r="B23" s="3"/>
    </row>
    <row r="24" spans="1:3" ht="18.75" customHeight="1" x14ac:dyDescent="0.4">
      <c r="A24" s="57" t="s">
        <v>31</v>
      </c>
      <c r="B24" s="58"/>
      <c r="C24" s="59"/>
    </row>
    <row r="25" spans="1:3" ht="18.75" customHeight="1" x14ac:dyDescent="0.4">
      <c r="A25" s="60" t="s">
        <v>32</v>
      </c>
      <c r="B25" s="52"/>
      <c r="C25" s="53"/>
    </row>
    <row r="26" spans="1:3" ht="18.75" customHeight="1" x14ac:dyDescent="0.4">
      <c r="A26" s="60" t="s">
        <v>33</v>
      </c>
      <c r="B26" s="52"/>
      <c r="C26" s="53"/>
    </row>
    <row r="27" spans="1:3" ht="18.75" customHeight="1" x14ac:dyDescent="0.4">
      <c r="A27" s="60" t="s">
        <v>34</v>
      </c>
      <c r="B27" s="52"/>
      <c r="C27" s="53"/>
    </row>
    <row r="28" spans="1:3" ht="18.75" customHeight="1" x14ac:dyDescent="0.4">
      <c r="A28" s="60" t="s">
        <v>35</v>
      </c>
      <c r="B28" s="52"/>
      <c r="C28" s="53"/>
    </row>
    <row r="29" spans="1:3" ht="18.75" customHeight="1" x14ac:dyDescent="0.4">
      <c r="A29" s="51" t="str">
        <f t="shared" ref="A29:A37" si="0">IF(A14&lt;&gt;"",A14&amp;" : "&amp;B14,"")</f>
        <v>A : 배달/외식</v>
      </c>
      <c r="B29" s="52"/>
      <c r="C29" s="53"/>
    </row>
    <row r="30" spans="1:3" ht="18.75" customHeight="1" x14ac:dyDescent="0.4">
      <c r="A30" s="51" t="str">
        <f t="shared" si="0"/>
        <v>B : 간식/음료/편의점</v>
      </c>
      <c r="B30" s="52"/>
      <c r="C30" s="53"/>
    </row>
    <row r="31" spans="1:3" ht="18.75" customHeight="1" x14ac:dyDescent="0.4">
      <c r="A31" s="51" t="str">
        <f t="shared" si="0"/>
        <v>C : 생활용품</v>
      </c>
      <c r="B31" s="52"/>
      <c r="C31" s="53"/>
    </row>
    <row r="32" spans="1:3" ht="18.75" customHeight="1" x14ac:dyDescent="0.4">
      <c r="A32" s="51" t="str">
        <f t="shared" si="0"/>
        <v>D : 의류/잡화/미용</v>
      </c>
      <c r="B32" s="52"/>
      <c r="C32" s="53"/>
    </row>
    <row r="33" spans="1:3" ht="18.75" customHeight="1" x14ac:dyDescent="0.4">
      <c r="A33" s="51" t="str">
        <f t="shared" si="0"/>
        <v>E : 자기계발</v>
      </c>
      <c r="B33" s="52"/>
      <c r="C33" s="53"/>
    </row>
    <row r="34" spans="1:3" ht="18.75" customHeight="1" x14ac:dyDescent="0.4">
      <c r="A34" s="51" t="str">
        <f t="shared" si="0"/>
        <v>F : 문하/여가</v>
      </c>
      <c r="B34" s="52"/>
      <c r="C34" s="53"/>
    </row>
    <row r="35" spans="1:3" ht="18.75" customHeight="1" x14ac:dyDescent="0.4">
      <c r="A35" s="51" t="str">
        <f t="shared" si="0"/>
        <v>G : 전자/가전제품</v>
      </c>
      <c r="B35" s="52"/>
      <c r="C35" s="53"/>
    </row>
    <row r="36" spans="1:3" ht="18.75" customHeight="1" x14ac:dyDescent="0.4">
      <c r="A36" s="51" t="str">
        <f t="shared" si="0"/>
        <v/>
      </c>
      <c r="B36" s="52"/>
      <c r="C36" s="53"/>
    </row>
    <row r="37" spans="1:3" ht="18.75" customHeight="1" x14ac:dyDescent="0.4">
      <c r="A37" s="54" t="str">
        <f t="shared" si="0"/>
        <v/>
      </c>
      <c r="B37" s="55"/>
      <c r="C37" s="56"/>
    </row>
  </sheetData>
  <mergeCells count="30">
    <mergeCell ref="A33:C33"/>
    <mergeCell ref="A34:C34"/>
    <mergeCell ref="A35:C35"/>
    <mergeCell ref="A36:C36"/>
    <mergeCell ref="A37:C37"/>
    <mergeCell ref="A28:C28"/>
    <mergeCell ref="A29:C29"/>
    <mergeCell ref="A30:C30"/>
    <mergeCell ref="A31:C31"/>
    <mergeCell ref="A32:C32"/>
    <mergeCell ref="B22:C22"/>
    <mergeCell ref="A24:C24"/>
    <mergeCell ref="A25:C25"/>
    <mergeCell ref="A26:C26"/>
    <mergeCell ref="A27:C27"/>
    <mergeCell ref="B17:C17"/>
    <mergeCell ref="B18:C18"/>
    <mergeCell ref="B19:C19"/>
    <mergeCell ref="B20:C20"/>
    <mergeCell ref="B21:C21"/>
    <mergeCell ref="A8:C8"/>
    <mergeCell ref="B13:C13"/>
    <mergeCell ref="B14:C14"/>
    <mergeCell ref="B15:C15"/>
    <mergeCell ref="B16:C16"/>
    <mergeCell ref="A2:C2"/>
    <mergeCell ref="A1:C1"/>
    <mergeCell ref="A3:C3"/>
    <mergeCell ref="A4:C6"/>
    <mergeCell ref="A7:C7"/>
  </mergeCells>
  <phoneticPr fontId="1" type="noConversion"/>
  <conditionalFormatting sqref="G1:O1">
    <cfRule type="expression" dxfId="1" priority="3">
      <formula>AND(ISODD(ROW()),$G1&lt;&gt;"",ROW()&gt;1)</formula>
    </cfRule>
  </conditionalFormatting>
  <conditionalFormatting sqref="G1:O1048576">
    <cfRule type="expression" dxfId="0" priority="2">
      <formula>AND(ISODD(ROW()),$G1&lt;&gt;"",ROW()&gt;1)</formula>
    </cfRule>
  </conditionalFormatting>
  <conditionalFormatting sqref="N1:N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{C1A22AC1-661F-4D3B-B9CD-4B9723755894}</x14:id>
        </ext>
      </extLst>
    </cfRule>
  </conditionalFormatting>
  <hyperlinks>
    <hyperlink ref="A7:C7" r:id="rId1" display="https://new-m.pay.naver.com/" xr:uid="{ACDABC76-AFC9-4082-A71A-B258C80EF404}"/>
  </hyperlinks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A22AC1-661F-4D3B-B9CD-4B97237558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쿠팡</vt:lpstr>
      <vt:lpstr>네이버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전진권</dc:creator>
  <cp:lastModifiedBy>오빠두 엑셀</cp:lastModifiedBy>
  <dcterms:created xsi:type="dcterms:W3CDTF">2024-12-06T18:25:51Z</dcterms:created>
  <dcterms:modified xsi:type="dcterms:W3CDTF">2025-01-26T08:13:57Z</dcterms:modified>
</cp:coreProperties>
</file>